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efactoanalytics-my.sharepoint.com/personal/gura_defactoanalytics_io/Documents/Shared/Visual Studio/ALBEC Repos/tmp/daAnalytics/daAnalyticsExcel/"/>
    </mc:Choice>
  </mc:AlternateContent>
  <xr:revisionPtr revIDLastSave="526" documentId="13_ncr:1_{0C5C912D-9463-44A8-8A93-08498BF2481D}" xr6:coauthVersionLast="45" xr6:coauthVersionMax="45" xr10:uidLastSave="{CE9F871C-ED1F-4C87-8E12-FBF51FBA38A1}"/>
  <bookViews>
    <workbookView xWindow="-120" yWindow="-120" windowWidth="29040" windowHeight="15840" xr2:uid="{42EEB585-E763-4114-BD0B-F0F96D4FFC50}"/>
  </bookViews>
  <sheets>
    <sheet name="1. Create Models" sheetId="5" r:id="rId1"/>
    <sheet name="2. Swap Rates" sheetId="7" r:id="rId2"/>
    <sheet name="3. Portfolio" sheetId="8" r:id="rId3"/>
    <sheet name="4. Risk and PnL" sheetId="11" r:id="rId4"/>
    <sheet name="5. RV" sheetId="13" r:id="rId5"/>
    <sheet name="6. Possible Extensions" sheetId="14" r:id="rId6"/>
  </sheets>
  <functionGroups builtInGroupCount="19"/>
  <definedNames>
    <definedName name="emailRecipients">#REF!</definedName>
    <definedName name="emailSubject">#REF!</definedName>
    <definedName name="sales">#REF!</definedName>
    <definedName name="TestInputFormat">'6. Possible Extensions'!$Q$5:$Q$19</definedName>
    <definedName name="tet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13" l="1" a="1"/>
  <c r="E12" i="13" a="1"/>
  <c r="E10" i="13" a="1"/>
  <c r="E8" i="13" a="1"/>
  <c r="E6" i="13" a="1"/>
  <c r="C15" i="11" a="1"/>
  <c r="C13" i="11" a="1"/>
  <c r="E13" i="13" a="1"/>
  <c r="E11" i="13" a="1"/>
  <c r="E9" i="13" a="1"/>
  <c r="E7" i="13" a="1"/>
  <c r="E5" i="13" a="1"/>
  <c r="C12" i="11" a="1"/>
  <c r="B27" i="11" a="1"/>
  <c r="B8" i="7" a="1"/>
  <c r="C11" i="11" a="1"/>
  <c r="F30" i="7" a="1"/>
  <c r="F27" i="7" a="1"/>
  <c r="I33" i="7" a="1"/>
  <c r="E40" i="13" a="1"/>
  <c r="E32" i="13" a="1"/>
  <c r="E29" i="13" a="1"/>
  <c r="E26" i="13" a="1"/>
  <c r="E23" i="13" a="1"/>
  <c r="E20" i="13" a="1"/>
  <c r="E17" i="13" a="1"/>
  <c r="I29" i="7" a="1"/>
  <c r="E27" i="13" a="1"/>
  <c r="E18" i="13" a="1"/>
  <c r="I34" i="7" a="1"/>
  <c r="C9" i="7" a="1"/>
  <c r="C14" i="11" a="1"/>
  <c r="I30" i="7" a="1"/>
  <c r="B9" i="11" a="1"/>
  <c r="F33" i="7" a="1"/>
  <c r="E28" i="13" a="1"/>
  <c r="E30" i="13" a="1"/>
  <c r="E15" i="13" a="1"/>
  <c r="F31" i="7" a="1"/>
  <c r="I32" i="7" a="1"/>
  <c r="I28" i="7" a="1"/>
  <c r="E34" i="13" a="1"/>
  <c r="E31" i="13" a="1"/>
  <c r="E25" i="13" a="1"/>
  <c r="E22" i="13" a="1"/>
  <c r="E19" i="13" a="1"/>
  <c r="E16" i="13" a="1"/>
  <c r="F29" i="7" a="1"/>
  <c r="E33" i="13" a="1"/>
  <c r="E21" i="13" a="1"/>
  <c r="F34" i="7" a="1"/>
  <c r="C9" i="8" a="1"/>
  <c r="F32" i="7" a="1"/>
  <c r="F28" i="7" a="1"/>
  <c r="I27" i="7" a="1"/>
  <c r="E24" i="13" a="1"/>
  <c r="I31" i="7" a="1"/>
  <c r="C46" i="5" a="1"/>
  <c r="C49" i="5" a="1"/>
  <c r="C48" i="5" a="1"/>
  <c r="C15" i="5" a="1"/>
  <c r="C47" i="5" a="1"/>
  <c r="C14" i="5" a="1"/>
  <c r="C23" i="5" a="1"/>
  <c r="C45" i="5" a="1"/>
  <c r="C22" i="5" a="1"/>
  <c r="C13" i="5" a="1"/>
  <c r="C31" i="5" a="1"/>
  <c r="C10" i="11" a="1"/>
  <c r="C10" i="11" l="1"/>
  <c r="I31" i="7"/>
  <c r="E24" i="13"/>
  <c r="I27" i="7"/>
  <c r="F28" i="7"/>
  <c r="F32" i="7"/>
  <c r="C9" i="8"/>
  <c r="F34" i="7"/>
  <c r="E21" i="13"/>
  <c r="E33" i="13"/>
  <c r="F29" i="7"/>
  <c r="E16" i="13"/>
  <c r="E19" i="13"/>
  <c r="E22" i="13"/>
  <c r="E25" i="13"/>
  <c r="E31" i="13"/>
  <c r="E34" i="13"/>
  <c r="I28" i="7"/>
  <c r="I32" i="7"/>
  <c r="F31" i="7"/>
  <c r="E15" i="13"/>
  <c r="E30" i="13"/>
  <c r="E28" i="13"/>
  <c r="F33" i="7"/>
  <c r="B9" i="11"/>
  <c r="I30" i="7"/>
  <c r="C14" i="11"/>
  <c r="C9" i="7"/>
  <c r="I34" i="7"/>
  <c r="E18" i="13"/>
  <c r="E27" i="13"/>
  <c r="I29" i="7"/>
  <c r="E17" i="13"/>
  <c r="E20" i="13"/>
  <c r="E23" i="13"/>
  <c r="E26" i="13"/>
  <c r="E29" i="13"/>
  <c r="E32" i="13"/>
  <c r="E40" i="13"/>
  <c r="I33" i="7"/>
  <c r="F27" i="7"/>
  <c r="F30" i="7"/>
  <c r="C11" i="11"/>
  <c r="B8" i="7"/>
  <c r="B27" i="11"/>
  <c r="C12" i="11"/>
  <c r="E5" i="13"/>
  <c r="E7" i="13"/>
  <c r="E9" i="13"/>
  <c r="E11" i="13"/>
  <c r="E13" i="13"/>
  <c r="C13" i="11"/>
  <c r="C15" i="11"/>
  <c r="E6" i="13"/>
  <c r="E8" i="13"/>
  <c r="E10" i="13"/>
  <c r="E12" i="13"/>
  <c r="E14" i="13"/>
  <c r="C31" i="5"/>
  <c r="C13" i="5"/>
  <c r="C22" i="5"/>
  <c r="C45" i="5"/>
  <c r="C23" i="5"/>
  <c r="C14" i="5"/>
  <c r="C47" i="5"/>
  <c r="C15" i="5"/>
  <c r="C48" i="5"/>
  <c r="C49" i="5"/>
  <c r="C46" i="5"/>
  <c r="J28" i="7" a="1"/>
  <c r="J27" i="7" a="1"/>
  <c r="J32" i="7" a="1"/>
  <c r="J30" i="7" a="1"/>
  <c r="C12" i="8" a="1"/>
  <c r="J34" i="7" a="1"/>
  <c r="J31" i="7" a="1"/>
  <c r="C8" i="7" a="1"/>
  <c r="M3" i="11" a="1"/>
  <c r="E23" i="11" a="1"/>
  <c r="U3" i="11" a="1"/>
  <c r="J29" i="7" a="1"/>
  <c r="J33" i="7" a="1"/>
  <c r="C9" i="11" a="1"/>
  <c r="C9" i="11" l="1"/>
  <c r="J33" i="7"/>
  <c r="J29" i="7"/>
  <c r="U3" i="11"/>
  <c r="E23" i="11"/>
  <c r="M3" i="11"/>
  <c r="E3" i="11" s="1"/>
  <c r="C8" i="7"/>
  <c r="J31" i="7"/>
  <c r="J34" i="7"/>
  <c r="C12" i="8"/>
  <c r="J30" i="7"/>
  <c r="J32" i="7"/>
  <c r="J27" i="7"/>
  <c r="J28" i="7"/>
  <c r="J22" i="13" a="1"/>
  <c r="G29" i="13" a="1"/>
  <c r="G7" i="13" a="1"/>
  <c r="H5" i="13" a="1"/>
  <c r="G28" i="13" a="1"/>
  <c r="I12" i="13" a="1"/>
  <c r="G32" i="7" a="1"/>
  <c r="H11" i="13" a="1"/>
  <c r="G34" i="7" a="1"/>
  <c r="F22" i="13" a="1"/>
  <c r="J21" i="13" a="1"/>
  <c r="F26" i="13" a="1"/>
  <c r="I13" i="13" a="1"/>
  <c r="H14" i="13" a="1"/>
  <c r="J24" i="13" a="1"/>
  <c r="H22" i="13" a="1"/>
  <c r="F29" i="13" a="1"/>
  <c r="J26" i="13" a="1"/>
  <c r="F5" i="13" a="1"/>
  <c r="F28" i="13" a="1"/>
  <c r="I20" i="13" a="1"/>
  <c r="H12" i="13" a="1"/>
  <c r="F15" i="13" a="1"/>
  <c r="G31" i="7" a="1"/>
  <c r="H26" i="13" a="1"/>
  <c r="J34" i="13" a="1"/>
  <c r="G26" i="13" a="1"/>
  <c r="H34" i="13" a="1"/>
  <c r="G5" i="13" a="1"/>
  <c r="F6" i="13" a="1"/>
  <c r="J23" i="13" a="1"/>
  <c r="G13" i="13" a="1"/>
  <c r="G11" i="13" a="1"/>
  <c r="F9" i="13" a="1"/>
  <c r="F19" i="13" a="1"/>
  <c r="G33" i="7" a="1"/>
  <c r="H23" i="13" a="1"/>
  <c r="G14" i="13" a="1"/>
  <c r="I30" i="13" a="1"/>
  <c r="H17" i="13" a="1"/>
  <c r="F21" i="13" a="1"/>
  <c r="F8" i="13" a="1"/>
  <c r="G30" i="7" a="1"/>
  <c r="I34" i="13" a="1"/>
  <c r="J40" i="13" a="1"/>
  <c r="H24" i="13" a="1"/>
  <c r="F30" i="13" a="1"/>
  <c r="J32" i="13" a="1"/>
  <c r="J9" i="13" a="1"/>
  <c r="I19" i="13" a="1"/>
  <c r="J16" i="13" a="1"/>
  <c r="G23" i="13" a="1"/>
  <c r="F14" i="13" a="1"/>
  <c r="J33" i="13" a="1"/>
  <c r="G17" i="13" a="1"/>
  <c r="I21" i="13" a="1"/>
  <c r="J8" i="13" a="1"/>
  <c r="J18" i="13" a="1"/>
  <c r="G28" i="7" a="1"/>
  <c r="H40" i="13" a="1"/>
  <c r="G24" i="13" a="1"/>
  <c r="J10" i="13" a="1"/>
  <c r="I6" i="13" a="1"/>
  <c r="G22" i="13" a="1"/>
  <c r="F13" i="13" a="1"/>
  <c r="I5" i="13" a="1"/>
  <c r="I8" i="13" a="1"/>
  <c r="J11" i="13" a="1"/>
  <c r="H8" i="13" a="1"/>
  <c r="G19" i="13" a="1"/>
  <c r="J6" i="13" a="1"/>
  <c r="H32" i="13" a="1"/>
  <c r="I9" i="13" a="1"/>
  <c r="H7" i="13" a="1"/>
  <c r="H16" i="13" a="1"/>
  <c r="F23" i="13" a="1"/>
  <c r="J14" i="13" a="1"/>
  <c r="H33" i="13" a="1"/>
  <c r="F17" i="13" a="1"/>
  <c r="I10" i="13" a="1"/>
  <c r="J27" i="13" a="1"/>
  <c r="H18" i="13" a="1"/>
  <c r="J31" i="13" a="1"/>
  <c r="G40" i="13" a="1"/>
  <c r="F24" i="13" a="1"/>
  <c r="I27" i="13" a="1"/>
  <c r="G27" i="7" a="1"/>
  <c r="I29" i="13" a="1"/>
  <c r="H6" i="13" a="1"/>
  <c r="J19" i="13" a="1"/>
  <c r="G6" i="13" a="1"/>
  <c r="I14" i="13" a="1"/>
  <c r="G34" i="13" a="1"/>
  <c r="I26" i="13" a="1"/>
  <c r="F34" i="13" a="1"/>
  <c r="G32" i="13" a="1"/>
  <c r="G9" i="13" a="1"/>
  <c r="F7" i="13" a="1"/>
  <c r="G16" i="13" a="1"/>
  <c r="I23" i="13" a="1"/>
  <c r="J20" i="13" a="1"/>
  <c r="G33" i="13" a="1"/>
  <c r="I17" i="13" a="1"/>
  <c r="H10" i="13" a="1"/>
  <c r="H27" i="13" a="1"/>
  <c r="G18" i="13" a="1"/>
  <c r="H31" i="13" a="1"/>
  <c r="F40" i="13" a="1"/>
  <c r="I24" i="13" a="1"/>
  <c r="J25" i="13" a="1"/>
  <c r="H25" i="13" a="1"/>
  <c r="I28" i="13" a="1"/>
  <c r="J30" i="13" a="1"/>
  <c r="G25" i="13" a="1"/>
  <c r="H30" i="13" a="1"/>
  <c r="J13" i="13" a="1"/>
  <c r="H19" i="13" a="1"/>
  <c r="H21" i="13" a="1"/>
  <c r="I11" i="13" a="1"/>
  <c r="G21" i="13" a="1"/>
  <c r="F32" i="13" a="1"/>
  <c r="J29" i="13" a="1"/>
  <c r="J7" i="13" a="1"/>
  <c r="F16" i="13" a="1"/>
  <c r="J28" i="13" a="1"/>
  <c r="H20" i="13" a="1"/>
  <c r="F33" i="13" a="1"/>
  <c r="J15" i="13" a="1"/>
  <c r="G10" i="13" a="1"/>
  <c r="G27" i="13" a="1"/>
  <c r="F18" i="13" a="1"/>
  <c r="G31" i="13" a="1"/>
  <c r="E41" i="13" a="1"/>
  <c r="I15" i="13" a="1"/>
  <c r="F11" i="13" a="1"/>
  <c r="F12" i="13" a="1"/>
  <c r="I22" i="13" a="1"/>
  <c r="J12" i="13" a="1"/>
  <c r="H9" i="13" a="1"/>
  <c r="G8" i="13" a="1"/>
  <c r="I32" i="13" a="1"/>
  <c r="H29" i="13" a="1"/>
  <c r="I7" i="13" a="1"/>
  <c r="I16" i="13" a="1"/>
  <c r="H28" i="13" a="1"/>
  <c r="G20" i="13" a="1"/>
  <c r="I33" i="13" a="1"/>
  <c r="H15" i="13" a="1"/>
  <c r="F10" i="13" a="1"/>
  <c r="F27" i="13" a="1"/>
  <c r="I18" i="13" a="1"/>
  <c r="F31" i="13" a="1"/>
  <c r="I40" i="13" a="1"/>
  <c r="F20" i="13" a="1"/>
  <c r="G15" i="13" a="1"/>
  <c r="I31" i="13" a="1"/>
  <c r="H13" i="13" a="1"/>
  <c r="J5" i="13" a="1"/>
  <c r="G12" i="13" a="1"/>
  <c r="G29" i="7" a="1"/>
  <c r="F25" i="13" a="1"/>
  <c r="G30" i="13" a="1"/>
  <c r="I25" i="13" a="1"/>
  <c r="J17" i="13" a="1"/>
  <c r="J17" i="13" l="1"/>
  <c r="I25" i="13"/>
  <c r="G30" i="13"/>
  <c r="F25" i="13"/>
  <c r="G29" i="7"/>
  <c r="G12" i="13"/>
  <c r="J5" i="13"/>
  <c r="H13" i="13"/>
  <c r="I31" i="13"/>
  <c r="G15" i="13"/>
  <c r="F20" i="13"/>
  <c r="I40" i="13"/>
  <c r="F31" i="13"/>
  <c r="I18" i="13"/>
  <c r="F27" i="13"/>
  <c r="F10" i="13"/>
  <c r="H15" i="13"/>
  <c r="I33" i="13"/>
  <c r="G20" i="13"/>
  <c r="H28" i="13"/>
  <c r="I16" i="13"/>
  <c r="I7" i="13"/>
  <c r="H29" i="13"/>
  <c r="I32" i="13"/>
  <c r="G8" i="13"/>
  <c r="H9" i="13"/>
  <c r="J12" i="13"/>
  <c r="I22" i="13"/>
  <c r="F12" i="13"/>
  <c r="F11" i="13"/>
  <c r="I15" i="13"/>
  <c r="E41" i="13"/>
  <c r="G31" i="13"/>
  <c r="F18" i="13"/>
  <c r="G27" i="13"/>
  <c r="G10" i="13"/>
  <c r="J15" i="13"/>
  <c r="F33" i="13"/>
  <c r="H20" i="13"/>
  <c r="J28" i="13"/>
  <c r="F16" i="13"/>
  <c r="J7" i="13"/>
  <c r="J29" i="13"/>
  <c r="F32" i="13"/>
  <c r="G21" i="13"/>
  <c r="I11" i="13"/>
  <c r="H21" i="13"/>
  <c r="H19" i="13"/>
  <c r="J13" i="13"/>
  <c r="H30" i="13"/>
  <c r="G25" i="13"/>
  <c r="J30" i="13"/>
  <c r="I28" i="13"/>
  <c r="H25" i="13"/>
  <c r="J25" i="13"/>
  <c r="I24" i="13"/>
  <c r="F40" i="13"/>
  <c r="H31" i="13"/>
  <c r="G18" i="13"/>
  <c r="H27" i="13"/>
  <c r="H10" i="13"/>
  <c r="I17" i="13"/>
  <c r="G33" i="13"/>
  <c r="J20" i="13"/>
  <c r="I23" i="13"/>
  <c r="G16" i="13"/>
  <c r="F7" i="13"/>
  <c r="G9" i="13"/>
  <c r="G32" i="13"/>
  <c r="F34" i="13"/>
  <c r="I26" i="13"/>
  <c r="G34" i="13"/>
  <c r="I14" i="13"/>
  <c r="G6" i="13"/>
  <c r="J19" i="13"/>
  <c r="H6" i="13"/>
  <c r="I29" i="13"/>
  <c r="G27" i="7"/>
  <c r="I27" i="13"/>
  <c r="F24" i="13"/>
  <c r="G40" i="13"/>
  <c r="J31" i="13"/>
  <c r="H18" i="13"/>
  <c r="J27" i="13"/>
  <c r="I10" i="13"/>
  <c r="F17" i="13"/>
  <c r="H33" i="13"/>
  <c r="J14" i="13"/>
  <c r="F23" i="13"/>
  <c r="H16" i="13"/>
  <c r="H7" i="13"/>
  <c r="I9" i="13"/>
  <c r="H32" i="13"/>
  <c r="J6" i="13"/>
  <c r="G19" i="13"/>
  <c r="H8" i="13"/>
  <c r="J11" i="13"/>
  <c r="I8" i="13"/>
  <c r="I5" i="13"/>
  <c r="F13" i="13"/>
  <c r="G22" i="13"/>
  <c r="I6" i="13"/>
  <c r="J10" i="13"/>
  <c r="G24" i="13"/>
  <c r="H40" i="13"/>
  <c r="G28" i="7"/>
  <c r="J18" i="13"/>
  <c r="J8" i="13"/>
  <c r="I21" i="13"/>
  <c r="G17" i="13"/>
  <c r="J33" i="13"/>
  <c r="F14" i="13"/>
  <c r="G23" i="13"/>
  <c r="J16" i="13"/>
  <c r="I19" i="13"/>
  <c r="J9" i="13"/>
  <c r="J32" i="13"/>
  <c r="F30" i="13"/>
  <c r="H24" i="13"/>
  <c r="J40" i="13"/>
  <c r="I34" i="13"/>
  <c r="G30" i="7"/>
  <c r="F8" i="13"/>
  <c r="F21" i="13"/>
  <c r="H17" i="13"/>
  <c r="I30" i="13"/>
  <c r="G14" i="13"/>
  <c r="H23" i="13"/>
  <c r="G33" i="7"/>
  <c r="F19" i="13"/>
  <c r="F9" i="13"/>
  <c r="G11" i="13"/>
  <c r="G13" i="13"/>
  <c r="J23" i="13"/>
  <c r="F6" i="13"/>
  <c r="G5" i="13"/>
  <c r="H34" i="13"/>
  <c r="G26" i="13"/>
  <c r="J34" i="13"/>
  <c r="H26" i="13"/>
  <c r="G31" i="7"/>
  <c r="F15" i="13"/>
  <c r="H12" i="13"/>
  <c r="I20" i="13"/>
  <c r="F28" i="13"/>
  <c r="F5" i="13"/>
  <c r="J26" i="13"/>
  <c r="F29" i="13"/>
  <c r="H22" i="13"/>
  <c r="J24" i="13"/>
  <c r="H14" i="13"/>
  <c r="I13" i="13"/>
  <c r="F26" i="13"/>
  <c r="J21" i="13"/>
  <c r="F22" i="13"/>
  <c r="G34" i="7"/>
  <c r="H11" i="13"/>
  <c r="G32" i="7"/>
  <c r="I12" i="13"/>
  <c r="G28" i="13"/>
  <c r="H5" i="13"/>
  <c r="G7" i="13"/>
  <c r="G29" i="13"/>
  <c r="J22" i="13"/>
  <c r="C10" i="5"/>
  <c r="C27" i="5" a="1"/>
  <c r="C12" i="5" a="1"/>
  <c r="C28" i="5" a="1"/>
  <c r="C19" i="5" a="1"/>
  <c r="C29" i="5" a="1"/>
  <c r="C30" i="5" a="1"/>
  <c r="C30" i="5" l="1"/>
  <c r="C29" i="5"/>
  <c r="C19" i="5"/>
  <c r="C28" i="5"/>
  <c r="C12" i="5"/>
  <c r="C27" i="5"/>
  <c r="O9" i="13" a="1"/>
  <c r="O9" i="13" s="1"/>
  <c r="O7" i="13" a="1"/>
  <c r="O7" i="13" s="1"/>
  <c r="O6" i="13" a="1"/>
  <c r="O6" i="13" s="1"/>
  <c r="O5" i="13" a="1"/>
  <c r="O5" i="13" s="1"/>
  <c r="C21" i="5" a="1"/>
  <c r="C21" i="5" l="1"/>
  <c r="D41" i="13" l="1"/>
  <c r="B34" i="13" l="1"/>
  <c r="D34" i="13" l="1"/>
  <c r="B33" i="13" l="1"/>
  <c r="D33" i="13" l="1"/>
  <c r="B32" i="13" l="1"/>
  <c r="D32" i="13" l="1"/>
  <c r="B31" i="13" l="1"/>
  <c r="D31" i="13" l="1"/>
  <c r="B30" i="13" l="1"/>
  <c r="D30" i="13" l="1"/>
  <c r="B29" i="13" l="1"/>
  <c r="D29" i="13" l="1"/>
  <c r="B28" i="13" l="1"/>
  <c r="D28" i="13" l="1"/>
  <c r="B27" i="13" l="1"/>
  <c r="D27" i="13" l="1"/>
  <c r="B26" i="13" l="1"/>
  <c r="D26" i="13" l="1"/>
  <c r="B25" i="13" l="1"/>
  <c r="D25" i="13" l="1"/>
  <c r="B24" i="13" l="1"/>
  <c r="D24" i="13" l="1"/>
  <c r="B23" i="13" l="1"/>
  <c r="D23" i="13" l="1"/>
  <c r="B22" i="13" l="1"/>
  <c r="D22" i="13" l="1"/>
  <c r="B21" i="13" l="1"/>
  <c r="D21" i="13" l="1"/>
  <c r="B20" i="13" l="1"/>
  <c r="D20" i="13" l="1"/>
  <c r="B19" i="13" l="1"/>
  <c r="D19" i="13" l="1"/>
  <c r="B18" i="13" l="1"/>
  <c r="D18" i="13" l="1"/>
  <c r="B17" i="13" l="1"/>
  <c r="D17" i="13" l="1"/>
  <c r="B16" i="13" l="1"/>
  <c r="D16" i="13" l="1"/>
  <c r="B15" i="13" l="1"/>
  <c r="D15" i="13" l="1"/>
  <c r="R14" i="13" a="1"/>
  <c r="R14" i="13" l="1"/>
  <c r="Q14" i="13" a="1"/>
  <c r="O14" i="13" a="1"/>
  <c r="P14" i="13" a="1"/>
  <c r="P14" i="13" l="1"/>
  <c r="Q14" i="13"/>
  <c r="B14" i="13"/>
  <c r="O14" i="13"/>
  <c r="D14" i="13" l="1"/>
  <c r="T14" i="13" a="1"/>
  <c r="T14" i="13" l="1"/>
  <c r="R13" i="13" a="1"/>
  <c r="P13" i="13" a="1"/>
  <c r="Q13" i="13" a="1"/>
  <c r="O13" i="13" a="1"/>
  <c r="Q13" i="13" l="1"/>
  <c r="P13" i="13"/>
  <c r="R13" i="13"/>
  <c r="S13" i="13" s="1" a="1"/>
  <c r="B13" i="13"/>
  <c r="O13" i="13"/>
  <c r="S13" i="13" l="1"/>
  <c r="D13" i="13"/>
  <c r="T13" i="13" a="1"/>
  <c r="T13" i="13" l="1"/>
  <c r="U13" i="13" s="1" a="1"/>
  <c r="R12" i="13" a="1"/>
  <c r="O12" i="13" a="1"/>
  <c r="P12" i="13" a="1"/>
  <c r="Q12" i="13" a="1"/>
  <c r="U13" i="13" l="1"/>
  <c r="Q12" i="13"/>
  <c r="P12" i="13"/>
  <c r="R12" i="13"/>
  <c r="B12" i="13"/>
  <c r="O12" i="13"/>
  <c r="S12" i="13" a="1"/>
  <c r="S12" i="13" l="1"/>
  <c r="D12" i="13"/>
  <c r="T12" i="13" a="1"/>
  <c r="T12" i="13" l="1"/>
  <c r="R11" i="13" a="1"/>
  <c r="P11" i="13" a="1"/>
  <c r="Q11" i="13" a="1"/>
  <c r="O11" i="13" a="1"/>
  <c r="U12" i="13" a="1"/>
  <c r="U12" i="13" l="1"/>
  <c r="Q11" i="13"/>
  <c r="P11" i="13"/>
  <c r="R11" i="13"/>
  <c r="S11" i="13" s="1" a="1"/>
  <c r="B11" i="13"/>
  <c r="O11" i="13"/>
  <c r="S11" i="13" l="1"/>
  <c r="D11" i="13"/>
  <c r="T11" i="13" a="1"/>
  <c r="T11" i="13" l="1"/>
  <c r="U11" i="13" s="1" a="1"/>
  <c r="R10" i="13" a="1"/>
  <c r="P10" i="13" a="1"/>
  <c r="Q10" i="13" a="1"/>
  <c r="O10" i="13" a="1"/>
  <c r="U11" i="13" l="1"/>
  <c r="Q10" i="13"/>
  <c r="P10" i="13"/>
  <c r="R10" i="13"/>
  <c r="S10" i="13" s="1" a="1"/>
  <c r="B10" i="13"/>
  <c r="O10" i="13"/>
  <c r="S10" i="13" l="1"/>
  <c r="D10" i="13"/>
  <c r="T10" i="13" a="1"/>
  <c r="T10" i="13" l="1"/>
  <c r="R9" i="13" a="1"/>
  <c r="P9" i="13" a="1"/>
  <c r="Q9" i="13" a="1"/>
  <c r="U10" i="13" a="1"/>
  <c r="U10" i="13" l="1"/>
  <c r="Q9" i="13"/>
  <c r="P9" i="13"/>
  <c r="R9" i="13"/>
  <c r="B9" i="13"/>
  <c r="S9" i="13" a="1"/>
  <c r="T9" i="13" a="1"/>
  <c r="T9" i="13" l="1"/>
  <c r="U9" i="13" s="1" a="1"/>
  <c r="S9" i="13"/>
  <c r="D9" i="13"/>
  <c r="U9" i="13" l="1"/>
  <c r="R8" i="13" a="1"/>
  <c r="Q8" i="13" a="1"/>
  <c r="P8" i="13" a="1"/>
  <c r="O8" i="13" a="1"/>
  <c r="P8" i="13" l="1"/>
  <c r="Q8" i="13"/>
  <c r="R8" i="13"/>
  <c r="B8" i="13"/>
  <c r="D8" i="13" s="1"/>
  <c r="O8" i="13"/>
  <c r="S8" i="13" a="1"/>
  <c r="S8" i="13" l="1"/>
  <c r="R7" i="13" a="1"/>
  <c r="P7" i="13" a="1"/>
  <c r="Q7" i="13" a="1"/>
  <c r="T8" i="13" a="1"/>
  <c r="T8" i="13" l="1"/>
  <c r="Q7" i="13"/>
  <c r="P7" i="13"/>
  <c r="R7" i="13"/>
  <c r="B7" i="13"/>
  <c r="D7" i="13" s="1"/>
  <c r="U8" i="13" a="1"/>
  <c r="S7" i="13" a="1"/>
  <c r="T7" i="13" a="1"/>
  <c r="T7" i="13" l="1"/>
  <c r="S7" i="13"/>
  <c r="U8" i="13"/>
  <c r="R6" i="13" a="1"/>
  <c r="P6" i="13" a="1"/>
  <c r="Q6" i="13" a="1"/>
  <c r="U7" i="13" a="1"/>
  <c r="U7" i="13" l="1"/>
  <c r="Q6" i="13"/>
  <c r="P6" i="13"/>
  <c r="R6" i="13"/>
  <c r="B6" i="13"/>
  <c r="S6" i="13" a="1"/>
  <c r="T6" i="13" a="1"/>
  <c r="T6" i="13" l="1"/>
  <c r="S6" i="13"/>
  <c r="D6" i="13"/>
  <c r="U6" i="13" a="1"/>
  <c r="U6" i="13" l="1"/>
  <c r="R5" i="13" a="1"/>
  <c r="Q5" i="13" a="1"/>
  <c r="P5" i="13" a="1"/>
  <c r="P5" i="13" l="1"/>
  <c r="Q5" i="13"/>
  <c r="R5" i="13"/>
  <c r="S5" i="13" s="1" a="1"/>
  <c r="T5" i="13" l="1" a="1"/>
  <c r="T5" i="13" s="1"/>
  <c r="U5" i="13" s="1" a="1"/>
  <c r="S5" i="13"/>
  <c r="D5" i="13"/>
  <c r="U5" i="13" l="1"/>
  <c r="F20" i="11"/>
  <c r="K19" i="11"/>
  <c r="J19" i="11"/>
  <c r="I19" i="11"/>
  <c r="H19" i="11"/>
  <c r="G19" i="11"/>
  <c r="F19" i="11"/>
  <c r="E19" i="11"/>
  <c r="K18" i="11"/>
  <c r="J18" i="11"/>
  <c r="I18" i="11"/>
  <c r="H18" i="11"/>
  <c r="G18" i="11"/>
  <c r="F18" i="11"/>
  <c r="E18" i="11"/>
  <c r="K17" i="11"/>
  <c r="J17" i="11"/>
  <c r="I17" i="11"/>
  <c r="H17" i="11"/>
  <c r="G17" i="11"/>
  <c r="F17" i="11"/>
  <c r="E17" i="11"/>
  <c r="K16" i="11"/>
  <c r="J16" i="11"/>
  <c r="I16" i="11"/>
  <c r="H16" i="11"/>
  <c r="G16" i="11"/>
  <c r="F16" i="11"/>
  <c r="E16" i="11"/>
  <c r="K15" i="11"/>
  <c r="J15" i="11"/>
  <c r="I15" i="11"/>
  <c r="H15" i="11"/>
  <c r="G15" i="11"/>
  <c r="F15" i="11"/>
  <c r="E15" i="11"/>
  <c r="K14" i="11"/>
  <c r="J14" i="11"/>
  <c r="I14" i="11"/>
  <c r="H14" i="11"/>
  <c r="G14" i="11"/>
  <c r="F14" i="11"/>
  <c r="E14" i="11"/>
  <c r="K13" i="11"/>
  <c r="J13" i="11"/>
  <c r="I13" i="11"/>
  <c r="H13" i="11"/>
  <c r="G13" i="11"/>
  <c r="F13" i="11"/>
  <c r="E13" i="11"/>
  <c r="K12" i="11"/>
  <c r="J12" i="11"/>
  <c r="I12" i="11"/>
  <c r="H12" i="11"/>
  <c r="G12" i="11"/>
  <c r="F12" i="11"/>
  <c r="E12" i="11"/>
  <c r="K11" i="11"/>
  <c r="J11" i="11"/>
  <c r="I11" i="11"/>
  <c r="H11" i="11"/>
  <c r="G11" i="11"/>
  <c r="F11" i="11"/>
  <c r="E11" i="11"/>
  <c r="E4" i="11" l="1"/>
  <c r="I10" i="11" l="1"/>
  <c r="H10" i="11"/>
  <c r="G10" i="11"/>
  <c r="F10" i="11"/>
  <c r="K10" i="11"/>
  <c r="E10" i="11"/>
  <c r="J10" i="11"/>
  <c r="I9" i="11"/>
  <c r="H9" i="11"/>
  <c r="G9" i="11"/>
  <c r="F9" i="11"/>
  <c r="E9" i="11"/>
  <c r="K9" i="11"/>
  <c r="J9" i="11"/>
  <c r="F8" i="11"/>
  <c r="H6" i="11"/>
  <c r="J4" i="11"/>
  <c r="E8" i="11"/>
  <c r="G6" i="11"/>
  <c r="I4" i="11"/>
  <c r="J7" i="11"/>
  <c r="G4" i="11"/>
  <c r="K8" i="11"/>
  <c r="F7" i="11"/>
  <c r="H5" i="11"/>
  <c r="J8" i="11"/>
  <c r="E7" i="11"/>
  <c r="G5" i="11"/>
  <c r="K6" i="11"/>
  <c r="J6" i="11"/>
  <c r="K4" i="11"/>
  <c r="K7" i="11"/>
  <c r="F6" i="11"/>
  <c r="H4" i="11"/>
  <c r="E6" i="11"/>
  <c r="I7" i="11"/>
  <c r="K5" i="11"/>
  <c r="F4" i="11"/>
  <c r="H7" i="11"/>
  <c r="J5" i="11"/>
  <c r="I5" i="11"/>
  <c r="H8" i="11"/>
  <c r="G7" i="11"/>
  <c r="I8" i="11"/>
  <c r="F5" i="11"/>
  <c r="E5" i="11"/>
  <c r="G8" i="11"/>
  <c r="I6" i="11"/>
  <c r="J3" i="11"/>
  <c r="I3" i="11"/>
  <c r="H3" i="11"/>
  <c r="G3" i="11"/>
  <c r="F3" i="11"/>
  <c r="K20" i="11" l="1"/>
  <c r="E44" i="5" l="1"/>
  <c r="E43" i="5" l="1"/>
  <c r="E42" i="5" l="1"/>
  <c r="E41" i="5" l="1"/>
  <c r="E40" i="5" l="1"/>
  <c r="E39" i="5" l="1"/>
  <c r="E38" i="5" l="1"/>
  <c r="E37" i="5" l="1"/>
  <c r="B37" i="5" l="1"/>
  <c r="B43" i="5" s="1"/>
  <c r="B49" i="5" l="1"/>
  <c r="E36" i="5" l="1"/>
  <c r="B36" i="5" l="1"/>
  <c r="B42" i="5" s="1"/>
  <c r="B48" i="5" l="1"/>
  <c r="E35" i="5" l="1"/>
  <c r="B35" i="5" l="1"/>
  <c r="B41" i="5" s="1"/>
  <c r="B47" i="5" l="1"/>
  <c r="E34" i="5" l="1"/>
  <c r="B34" i="5" l="1"/>
  <c r="B40" i="5" s="1"/>
  <c r="B46" i="5" l="1"/>
  <c r="E33" i="5" l="1"/>
  <c r="B33" i="5" l="1"/>
  <c r="B39" i="5" s="1"/>
  <c r="B45" i="5" l="1"/>
  <c r="E32" i="5" l="1"/>
  <c r="E31" i="5" l="1"/>
  <c r="E30" i="5" l="1"/>
  <c r="E29" i="5" l="1"/>
  <c r="E28" i="5" l="1"/>
  <c r="E27" i="5" l="1"/>
  <c r="E26" i="5" l="1"/>
  <c r="E25" i="5" l="1"/>
  <c r="E24" i="5" l="1"/>
  <c r="E23" i="5" l="1"/>
  <c r="E22" i="5" l="1"/>
  <c r="E21" i="5" l="1"/>
  <c r="E20" i="5" l="1"/>
  <c r="E19" i="5" l="1"/>
  <c r="E18" i="5" l="1"/>
  <c r="E17" i="5" l="1"/>
  <c r="E16" i="5"/>
  <c r="E15" i="5" l="1"/>
  <c r="E14" i="5" l="1"/>
  <c r="E13" i="5" l="1"/>
  <c r="E12" i="5" l="1"/>
  <c r="E11" i="5" l="1"/>
  <c r="AK8" i="5"/>
  <c r="AJ8" i="5"/>
  <c r="AG8" i="5"/>
  <c r="AD8" i="5"/>
  <c r="AA8" i="5"/>
  <c r="X8" i="5"/>
  <c r="AK13" i="5" a="1"/>
  <c r="AK21" i="5" a="1"/>
  <c r="AK37" i="5" a="1"/>
  <c r="AK34" i="5" a="1"/>
  <c r="AK31" i="5" a="1"/>
  <c r="AK16" i="5" a="1"/>
  <c r="AK14" i="5" a="1"/>
  <c r="AK15" i="5" a="1"/>
  <c r="AK20" i="5" a="1"/>
  <c r="AK25" i="5" a="1"/>
  <c r="AK35" i="5" a="1"/>
  <c r="AK27" i="5" a="1"/>
  <c r="AK29" i="5" a="1"/>
  <c r="AK28" i="5" a="1"/>
  <c r="AK12" i="5" a="1"/>
  <c r="AK22" i="5" a="1"/>
  <c r="AK30" i="5" a="1"/>
  <c r="AK41" i="5" a="1"/>
  <c r="AK19" i="5" a="1"/>
  <c r="AK33" i="5" a="1"/>
  <c r="AK43" i="5" a="1"/>
  <c r="AK38" i="5" a="1"/>
  <c r="AK24" i="5" a="1"/>
  <c r="AK42" i="5" a="1"/>
  <c r="AK40" i="5" a="1"/>
  <c r="AK26" i="5" a="1"/>
  <c r="AK39" i="5" a="1"/>
  <c r="AK17" i="5" a="1"/>
  <c r="AK11" i="5" a="1"/>
  <c r="AK36" i="5" a="1"/>
  <c r="AK18" i="5" a="1"/>
  <c r="AK44" i="5" a="1"/>
  <c r="AK23" i="5" a="1"/>
  <c r="AK32" i="5" a="1"/>
  <c r="AK44" i="5" l="1"/>
  <c r="AK42" i="5"/>
  <c r="AK43" i="5"/>
  <c r="AK41" i="5"/>
  <c r="AK40" i="5"/>
  <c r="AK39" i="5"/>
  <c r="AK38" i="5"/>
  <c r="AK36" i="5"/>
  <c r="AK37" i="5"/>
  <c r="AK35" i="5"/>
  <c r="AK32" i="5"/>
  <c r="AK34" i="5"/>
  <c r="AK33" i="5"/>
  <c r="AK31" i="5"/>
  <c r="AK26" i="5"/>
  <c r="AK30" i="5"/>
  <c r="AK29" i="5"/>
  <c r="AK28" i="5"/>
  <c r="AK27" i="5"/>
  <c r="AK25" i="5"/>
  <c r="AK24" i="5"/>
  <c r="AK23" i="5"/>
  <c r="AK22" i="5"/>
  <c r="AK21" i="5"/>
  <c r="AK20" i="5"/>
  <c r="AK16" i="5"/>
  <c r="AK17" i="5"/>
  <c r="AK19" i="5"/>
  <c r="AK18" i="5"/>
  <c r="AK11" i="5"/>
  <c r="AK13" i="5"/>
  <c r="AK14" i="5"/>
  <c r="AK15" i="5"/>
  <c r="AK12" i="5"/>
  <c r="C43" i="5" a="1"/>
  <c r="C43" i="5" l="1"/>
  <c r="AB8" i="5"/>
  <c r="J7" i="5"/>
  <c r="AE8" i="5"/>
  <c r="AH8" i="5"/>
  <c r="Y8" i="5"/>
  <c r="AB12" i="5" a="1"/>
  <c r="AE30" i="5" a="1"/>
  <c r="AH27" i="5" a="1"/>
  <c r="Y30" i="5" a="1"/>
  <c r="Y11" i="5" a="1"/>
  <c r="AH21" i="5" a="1"/>
  <c r="Y22" i="5" a="1"/>
  <c r="AE16" i="5" a="1"/>
  <c r="AE31" i="5" a="1"/>
  <c r="AB25" i="5" a="1"/>
  <c r="AH25" i="5" a="1"/>
  <c r="AB36" i="5" a="1"/>
  <c r="AH20" i="5" a="1"/>
  <c r="AB23" i="5" a="1"/>
  <c r="AB28" i="5" a="1"/>
  <c r="AE27" i="5" a="1"/>
  <c r="Y43" i="5" a="1"/>
  <c r="AH33" i="5" a="1"/>
  <c r="AH37" i="5" a="1"/>
  <c r="AB41" i="5" a="1"/>
  <c r="AH44" i="5" a="1"/>
  <c r="Y42" i="5" a="1"/>
  <c r="Y24" i="5" a="1"/>
  <c r="AE11" i="5" a="1"/>
  <c r="AE20" i="5" a="1"/>
  <c r="AE43" i="5" a="1"/>
  <c r="AB17" i="5" a="1"/>
  <c r="Y37" i="5" a="1"/>
  <c r="AE42" i="5" a="1"/>
  <c r="Y21" i="5" a="1"/>
  <c r="Y33" i="5" a="1"/>
  <c r="AB42" i="5" a="1"/>
  <c r="AB18" i="5" a="1"/>
  <c r="AE41" i="5" a="1"/>
  <c r="AH19" i="5" a="1"/>
  <c r="AH17" i="5" a="1"/>
  <c r="AH18" i="5" a="1"/>
  <c r="AE12" i="5" a="1"/>
  <c r="AE14" i="5" a="1"/>
  <c r="Y44" i="5" a="1"/>
  <c r="AE38" i="5" a="1"/>
  <c r="AH23" i="5" a="1"/>
  <c r="AH22" i="5" a="1"/>
  <c r="Y36" i="5" a="1"/>
  <c r="AB27" i="5" a="1"/>
  <c r="AB40" i="5" a="1"/>
  <c r="AH16" i="5" a="1"/>
  <c r="AE21" i="5" a="1"/>
  <c r="AH35" i="5" a="1"/>
  <c r="AE35" i="5" a="1"/>
  <c r="AB16" i="5" a="1"/>
  <c r="Y17" i="5" a="1"/>
  <c r="Y38" i="5" a="1"/>
  <c r="AB15" i="5" a="1"/>
  <c r="AE13" i="5" a="1"/>
  <c r="Y13" i="5" a="1"/>
  <c r="AH38" i="5" a="1"/>
  <c r="AH42" i="5" a="1"/>
  <c r="AH36" i="5" a="1"/>
  <c r="AH41" i="5" a="1"/>
  <c r="AB13" i="5" a="1"/>
  <c r="Y40" i="5" a="1"/>
  <c r="AH31" i="5" a="1"/>
  <c r="AB22" i="5" a="1"/>
  <c r="AB32" i="5" a="1"/>
  <c r="AH26" i="5" a="1"/>
  <c r="AB44" i="5" a="1"/>
  <c r="AE28" i="5" a="1"/>
  <c r="AH40" i="5" a="1"/>
  <c r="AE40" i="5" a="1"/>
  <c r="Y16" i="5" a="1"/>
  <c r="AH28" i="5" a="1"/>
  <c r="Y41" i="5" a="1"/>
  <c r="AE23" i="5" a="1"/>
  <c r="AH30" i="5" a="1"/>
  <c r="AH24" i="5" a="1"/>
  <c r="AE26" i="5" a="1"/>
  <c r="Y15" i="5" a="1"/>
  <c r="Y14" i="5" a="1"/>
  <c r="AB37" i="5" a="1"/>
  <c r="Y20" i="5" a="1"/>
  <c r="AB35" i="5" a="1"/>
  <c r="AH15" i="5" a="1"/>
  <c r="Y32" i="5" a="1"/>
  <c r="AB31" i="5" a="1"/>
  <c r="AB30" i="5" a="1"/>
  <c r="AB19" i="5" a="1"/>
  <c r="Y12" i="5" a="1"/>
  <c r="AE36" i="5" a="1"/>
  <c r="AH34" i="5" a="1"/>
  <c r="AE22" i="5" a="1"/>
  <c r="AB39" i="5" a="1"/>
  <c r="AE34" i="5" a="1"/>
  <c r="AE25" i="5" a="1"/>
  <c r="AB24" i="5" a="1"/>
  <c r="AE33" i="5" a="1"/>
  <c r="AH12" i="5" a="1"/>
  <c r="Y26" i="5" a="1"/>
  <c r="AH11" i="5" a="1"/>
  <c r="Y34" i="5" a="1"/>
  <c r="Y25" i="5" a="1"/>
  <c r="AH43" i="5" a="1"/>
  <c r="AB14" i="5" a="1"/>
  <c r="AB34" i="5" a="1"/>
  <c r="AB38" i="5" a="1"/>
  <c r="AB29" i="5" a="1"/>
  <c r="Y35" i="5" a="1"/>
  <c r="AH13" i="5" a="1"/>
  <c r="AE15" i="5" a="1"/>
  <c r="Y29" i="5" a="1"/>
  <c r="AB21" i="5" a="1"/>
  <c r="Y18" i="5" a="1"/>
  <c r="AE44" i="5" a="1"/>
  <c r="AH29" i="5" a="1"/>
  <c r="Y27" i="5" a="1"/>
  <c r="AB26" i="5" a="1"/>
  <c r="AE39" i="5" a="1"/>
  <c r="AE32" i="5" a="1"/>
  <c r="AE29" i="5" a="1"/>
  <c r="Y19" i="5" a="1"/>
  <c r="Y28" i="5" a="1"/>
  <c r="AE24" i="5" a="1"/>
  <c r="Y23" i="5" a="1"/>
  <c r="Y31" i="5" a="1"/>
  <c r="AB11" i="5" a="1"/>
  <c r="AE19" i="5" a="1"/>
  <c r="AE37" i="5" a="1"/>
  <c r="Y39" i="5" a="1"/>
  <c r="AH14" i="5" a="1"/>
  <c r="AB33" i="5" a="1"/>
  <c r="AH39" i="5" a="1"/>
  <c r="AB43" i="5" a="1"/>
  <c r="AE18" i="5" a="1"/>
  <c r="AH32" i="5" a="1"/>
  <c r="AB20" i="5" a="1"/>
  <c r="AE17" i="5" a="1"/>
  <c r="AH44" i="5" l="1"/>
  <c r="AH43" i="5"/>
  <c r="AH42" i="5"/>
  <c r="AH40" i="5"/>
  <c r="AH41" i="5"/>
  <c r="AH39" i="5"/>
  <c r="AH38" i="5"/>
  <c r="AH36" i="5"/>
  <c r="AH37" i="5"/>
  <c r="AH35" i="5"/>
  <c r="AH31" i="5"/>
  <c r="AH34" i="5"/>
  <c r="AH32" i="5"/>
  <c r="AH33" i="5"/>
  <c r="AH30" i="5"/>
  <c r="AH29" i="5"/>
  <c r="AH28" i="5"/>
  <c r="AH27" i="5"/>
  <c r="AH25" i="5"/>
  <c r="AH24" i="5"/>
  <c r="AH23" i="5"/>
  <c r="AH22" i="5"/>
  <c r="AH20" i="5"/>
  <c r="AH21" i="5"/>
  <c r="AH19" i="5"/>
  <c r="AH18" i="5"/>
  <c r="AH17" i="5"/>
  <c r="AH16" i="5"/>
  <c r="AH26" i="5"/>
  <c r="AH15" i="5"/>
  <c r="AH14" i="5"/>
  <c r="AH13" i="5"/>
  <c r="AH12" i="5"/>
  <c r="AH11" i="5"/>
  <c r="Y44" i="5"/>
  <c r="Y43" i="5"/>
  <c r="Y42" i="5"/>
  <c r="Y39" i="5"/>
  <c r="Y40" i="5"/>
  <c r="Y41" i="5"/>
  <c r="Y38" i="5"/>
  <c r="Y36" i="5"/>
  <c r="Y37" i="5"/>
  <c r="Y34" i="5"/>
  <c r="Y35" i="5"/>
  <c r="Y33" i="5"/>
  <c r="Y32" i="5"/>
  <c r="Y31" i="5"/>
  <c r="Y30" i="5"/>
  <c r="Y29" i="5"/>
  <c r="Y27" i="5"/>
  <c r="Y28" i="5"/>
  <c r="Y26" i="5"/>
  <c r="Y24" i="5"/>
  <c r="Y25" i="5"/>
  <c r="Y22" i="5"/>
  <c r="Y23" i="5"/>
  <c r="Y21" i="5"/>
  <c r="Y20" i="5"/>
  <c r="Y18" i="5"/>
  <c r="Y19" i="5"/>
  <c r="Y17" i="5"/>
  <c r="Y16" i="5"/>
  <c r="Y14" i="5"/>
  <c r="Y15" i="5"/>
  <c r="Y13" i="5"/>
  <c r="Y11" i="5"/>
  <c r="Y12" i="5"/>
  <c r="AE44" i="5"/>
  <c r="AE41" i="5"/>
  <c r="AE43" i="5"/>
  <c r="AE42" i="5"/>
  <c r="AE40" i="5"/>
  <c r="AE39" i="5"/>
  <c r="AE36" i="5"/>
  <c r="AE37" i="5"/>
  <c r="AE38" i="5"/>
  <c r="AE35" i="5"/>
  <c r="AE34" i="5"/>
  <c r="AE33" i="5"/>
  <c r="AE32" i="5"/>
  <c r="AE31" i="5"/>
  <c r="AE30" i="5"/>
  <c r="AE29" i="5"/>
  <c r="AE28" i="5"/>
  <c r="AE27" i="5"/>
  <c r="AE26" i="5"/>
  <c r="AE22" i="5"/>
  <c r="AE25" i="5"/>
  <c r="AE24" i="5"/>
  <c r="AE23" i="5"/>
  <c r="AE21" i="5"/>
  <c r="AE20" i="5"/>
  <c r="AE19" i="5"/>
  <c r="AE18" i="5"/>
  <c r="AE17" i="5"/>
  <c r="AE16" i="5"/>
  <c r="AE15" i="5"/>
  <c r="AE14" i="5"/>
  <c r="AE13" i="5"/>
  <c r="AE12" i="5"/>
  <c r="AE11" i="5"/>
  <c r="AB43" i="5"/>
  <c r="AB44" i="5"/>
  <c r="AB42" i="5"/>
  <c r="AB41" i="5"/>
  <c r="AB38" i="5"/>
  <c r="AB39" i="5"/>
  <c r="AB40" i="5"/>
  <c r="AB37" i="5"/>
  <c r="AB36" i="5"/>
  <c r="AB35" i="5"/>
  <c r="AB32" i="5"/>
  <c r="AB34" i="5"/>
  <c r="AB33" i="5"/>
  <c r="AB31" i="5"/>
  <c r="AB30" i="5"/>
  <c r="AB27" i="5"/>
  <c r="AB29" i="5"/>
  <c r="AB28" i="5"/>
  <c r="AB26" i="5"/>
  <c r="AB25" i="5"/>
  <c r="AB24" i="5"/>
  <c r="AB23" i="5"/>
  <c r="AB22" i="5"/>
  <c r="AB21" i="5"/>
  <c r="AB20" i="5"/>
  <c r="AB19" i="5"/>
  <c r="AB18" i="5"/>
  <c r="AB17" i="5"/>
  <c r="AB14" i="5"/>
  <c r="AB15" i="5"/>
  <c r="AB16" i="5"/>
  <c r="AB13" i="5"/>
  <c r="AB12" i="5"/>
  <c r="AB11" i="5"/>
  <c r="C40" i="5" a="1"/>
  <c r="C39" i="5" a="1"/>
  <c r="C41" i="5" a="1"/>
  <c r="C42" i="5" a="1"/>
  <c r="C42" i="5" l="1"/>
  <c r="C41" i="5"/>
  <c r="C39" i="5"/>
  <c r="C40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<sst xmlns="http://schemas.openxmlformats.org/spreadsheetml/2006/main" count="456" uniqueCount="160">
  <si>
    <t>Index</t>
  </si>
  <si>
    <t>Create Models</t>
  </si>
  <si>
    <t>Model Anchor</t>
  </si>
  <si>
    <t>Model Name</t>
  </si>
  <si>
    <t>EUR.RT</t>
  </si>
  <si>
    <t>Create Model</t>
  </si>
  <si>
    <t>Input Quotes</t>
  </si>
  <si>
    <t>Calibration Timestamp</t>
  </si>
  <si>
    <t>User input</t>
  </si>
  <si>
    <t>Custom functions</t>
  </si>
  <si>
    <t>Market Quotes</t>
  </si>
  <si>
    <t>In-House data</t>
  </si>
  <si>
    <t>Calibration Instrument</t>
  </si>
  <si>
    <t>Market Quote</t>
  </si>
  <si>
    <t>SWAP 1Y EUR6M</t>
  </si>
  <si>
    <t>SWAP 2Y EUR6M</t>
  </si>
  <si>
    <t>SWAP 3Y EUR6M</t>
  </si>
  <si>
    <t>SWAP 4Y EUR6M</t>
  </si>
  <si>
    <t>SWAP 5Y EUR6M</t>
  </si>
  <si>
    <t>SWAP 7Y EUR6M</t>
  </si>
  <si>
    <t>SWAP 10Y EUR6M</t>
  </si>
  <si>
    <t>SWAP 12Y EUR6M</t>
  </si>
  <si>
    <t>SWAP 15Y EUR6M</t>
  </si>
  <si>
    <t>SWAP 20Y EUR6M</t>
  </si>
  <si>
    <t>SWAP 30Y EUR6M</t>
  </si>
  <si>
    <t>SWAP 1Y EUROIS</t>
  </si>
  <si>
    <t>SWAP 2Y EUROIS</t>
  </si>
  <si>
    <t>SWAP 3Y EUROIS</t>
  </si>
  <si>
    <t>SWAP 4Y EUROIS</t>
  </si>
  <si>
    <t>SWAP 5Y EUROIS</t>
  </si>
  <si>
    <t>SWAP 7Y EUROIS</t>
  </si>
  <si>
    <t>SWAP 10Y EUROIS</t>
  </si>
  <si>
    <t>SWAP 12Y EUROIS</t>
  </si>
  <si>
    <t>SWAP 15Y EUROIS</t>
  </si>
  <si>
    <t>SWAP 20Y EUROIS</t>
  </si>
  <si>
    <t>SWAP 25Y EUROIS</t>
  </si>
  <si>
    <t>SWAP 30Y EUROIS</t>
  </si>
  <si>
    <t>SWAP 1Y EUR3M</t>
  </si>
  <si>
    <t>SWAP 2Y EUR3M</t>
  </si>
  <si>
    <t>SWAP 3Y EUR3M</t>
  </si>
  <si>
    <t>SWAP 4Y EUR3M</t>
  </si>
  <si>
    <t>SWAP 5Y EUR3M</t>
  </si>
  <si>
    <t>SWAP 7Y EUR3M</t>
  </si>
  <si>
    <t>SWAP 10Y EUR3M</t>
  </si>
  <si>
    <t>SWAP 12Y EUR3M</t>
  </si>
  <si>
    <t>SWAP 15Y EUR3M</t>
  </si>
  <si>
    <t>SWAP 20Y EUR3M</t>
  </si>
  <si>
    <t>SWAP 30Y EUR3M</t>
  </si>
  <si>
    <t>fx. Using BDP(EUSA Curncy)</t>
  </si>
  <si>
    <t>Lets also create a closing curve from the previous</t>
  </si>
  <si>
    <t>day</t>
  </si>
  <si>
    <t>EUR.EOD</t>
  </si>
  <si>
    <t>Closing Curve</t>
  </si>
  <si>
    <t>Realtime Market Quotes</t>
  </si>
  <si>
    <t>OBS: Model buildingblocks does not have to be identical</t>
  </si>
  <si>
    <t>Simple Pricer</t>
  </si>
  <si>
    <t>Models in memory</t>
  </si>
  <si>
    <t>Start</t>
  </si>
  <si>
    <t>End</t>
  </si>
  <si>
    <t>Rate</t>
  </si>
  <si>
    <t>NPV</t>
  </si>
  <si>
    <t>Overwrite Rate</t>
  </si>
  <si>
    <t>2b</t>
  </si>
  <si>
    <t>eur6m</t>
  </si>
  <si>
    <t>Notional (millions)</t>
  </si>
  <si>
    <t>Risk Annuity</t>
  </si>
  <si>
    <t>1d Chg (basis points)</t>
  </si>
  <si>
    <t>Create</t>
  </si>
  <si>
    <t>Create Swap Portfolio</t>
  </si>
  <si>
    <t>Portfolio Name</t>
  </si>
  <si>
    <t>MySwapPortfolio</t>
  </si>
  <si>
    <t>Add Swap Trades to the portfolio</t>
  </si>
  <si>
    <t>Portfolios in memory</t>
  </si>
  <si>
    <t>Portfolio Value EOD Model</t>
  </si>
  <si>
    <t>Portfolio Value RT Model</t>
  </si>
  <si>
    <t>Live PnL</t>
  </si>
  <si>
    <t>PnL Today</t>
  </si>
  <si>
    <t>TOTAL PnL</t>
  </si>
  <si>
    <t>Delta Risk Vector</t>
  </si>
  <si>
    <t>Total DV01</t>
  </si>
  <si>
    <t>7y</t>
  </si>
  <si>
    <t>eurois</t>
  </si>
  <si>
    <t>2y</t>
  </si>
  <si>
    <t>ID</t>
  </si>
  <si>
    <t>EUR6M</t>
  </si>
  <si>
    <t>StartDate</t>
  </si>
  <si>
    <t>EndDate</t>
  </si>
  <si>
    <t>Notional</t>
  </si>
  <si>
    <t>TradedRate</t>
  </si>
  <si>
    <t>LastFixing</t>
  </si>
  <si>
    <t xml:space="preserve">Guide: </t>
  </si>
  <si>
    <t>Add market Quotes to the model</t>
  </si>
  <si>
    <t>When the model is calibrated, the Calibration timestamp will change from:</t>
  </si>
  <si>
    <t>To the timestamp of calibration</t>
  </si>
  <si>
    <t>You can add as many models as you'd like</t>
  </si>
  <si>
    <t xml:space="preserve">and when market rates change, you simply have to re-calibrate the models from the Ribbon to </t>
  </si>
  <si>
    <t>accurately reflect changes in the market.</t>
  </si>
  <si>
    <t>10y</t>
  </si>
  <si>
    <t xml:space="preserve">Extra Models </t>
  </si>
  <si>
    <t>1W</t>
  </si>
  <si>
    <t>1M</t>
  </si>
  <si>
    <t>3M</t>
  </si>
  <si>
    <t>6M</t>
  </si>
  <si>
    <t>YTD</t>
  </si>
  <si>
    <t>Field</t>
  </si>
  <si>
    <t>PX Last</t>
  </si>
  <si>
    <t>Bloomberg Tickers</t>
  </si>
  <si>
    <t>Previous Days Closing Curve, can easily be pulled from internal offical closing curves but we just use BBG here</t>
  </si>
  <si>
    <t>Timestamp</t>
  </si>
  <si>
    <t>Close Time</t>
  </si>
  <si>
    <t>Add Inputs (See further to the right)</t>
  </si>
  <si>
    <t>Calibration Timestamps</t>
  </si>
  <si>
    <t>1y</t>
  </si>
  <si>
    <t>Forward Monitor</t>
  </si>
  <si>
    <t>RT</t>
  </si>
  <si>
    <t>1w</t>
  </si>
  <si>
    <t>1m</t>
  </si>
  <si>
    <t>3m</t>
  </si>
  <si>
    <t>6m</t>
  </si>
  <si>
    <t>ytd</t>
  </si>
  <si>
    <t>Danske Stater</t>
  </si>
  <si>
    <t>20y</t>
  </si>
  <si>
    <t>Changes</t>
  </si>
  <si>
    <t>Forward Swap</t>
  </si>
  <si>
    <t>DK0009923054</t>
  </si>
  <si>
    <t>DK0009918138</t>
  </si>
  <si>
    <t>DK0009923138</t>
  </si>
  <si>
    <t>DK0009923567</t>
  </si>
  <si>
    <t>DK0009923807</t>
  </si>
  <si>
    <t>DK0009922320</t>
  </si>
  <si>
    <t>DK0009924029</t>
  </si>
  <si>
    <t>Maturity</t>
  </si>
  <si>
    <t>Coupon</t>
  </si>
  <si>
    <t>Px Last</t>
  </si>
  <si>
    <t>YLD_YTM_MID</t>
  </si>
  <si>
    <t>ASW</t>
  </si>
  <si>
    <t>Fwd</t>
  </si>
  <si>
    <t>ASW Fwds</t>
  </si>
  <si>
    <t>Asset Swaps</t>
  </si>
  <si>
    <t>DK0009923641</t>
  </si>
  <si>
    <t>DK0009922676</t>
  </si>
  <si>
    <t>DK0009923997</t>
  </si>
  <si>
    <t>Possible Extensions:</t>
  </si>
  <si>
    <t>Credit bonds</t>
  </si>
  <si>
    <t>Mortgage Bonds</t>
  </si>
  <si>
    <t>Government Bonds</t>
  </si>
  <si>
    <t>*Use those curves to calculate curve specific risks and to explain pnl in terms of inter-curve movements</t>
  </si>
  <si>
    <t>*Generate Timeseries for specific structures/keyfigures</t>
  </si>
  <si>
    <t>*Backtest NPV on OTC Strategies</t>
  </si>
  <si>
    <t>*OTC Backtest framework for custom OTC strategies</t>
  </si>
  <si>
    <t>Calibrate bond curves, fx:</t>
  </si>
  <si>
    <t>*Use different curves to build further Relative Value monitors, fx. Mortage vs. Govies vs. Credit vs. Swap vs. EUR Govies vs. SEK Mortgage</t>
  </si>
  <si>
    <t>*Generate historical data on above spreads</t>
  </si>
  <si>
    <t>*Use generated historical data to make investment decisions</t>
  </si>
  <si>
    <t>*Use curves in pre-trade analysis to check if trade breaches any limits (DV01, Notional specific to curves or in total)</t>
  </si>
  <si>
    <t>*Generate automatic PnL and Risk reports explained through multiple curves</t>
  </si>
  <si>
    <t>Roll Years:</t>
  </si>
  <si>
    <t>Last Valid Inputs</t>
  </si>
  <si>
    <t>Create Models using daCreateModel function</t>
  </si>
  <si>
    <t>Calibrate the model from the daAnalytics Ribbon -&gt; Calibrate Models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</si>
</sst>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000%"/>
    <numFmt numFmtId="165" formatCode="[$-F400]h:mm:ss\ AM/PM"/>
    <numFmt numFmtId="166" formatCode="_-* #,##0_-;\-* #,##0_-;_-* &quot;-&quot;??_-;_-@_-"/>
    <numFmt numFmtId="167" formatCode="0.00000%"/>
    <numFmt numFmtId="168" formatCode="0.00_ ;[Red]\-0.00\ "/>
    <numFmt numFmtId="169" formatCode="#,##0_ ;[Red]\-#,##0\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78">
    <xf numFmtId="0" fontId="0" fillId="0" borderId="0" xfId="0"/>
    <xf numFmtId="0" fontId="2" fillId="2" borderId="0" xfId="0" applyFont="1" applyFill="1"/>
    <xf numFmtId="0" fontId="1" fillId="2" borderId="0" xfId="0" applyFont="1" applyFill="1"/>
    <xf numFmtId="14" fontId="2" fillId="3" borderId="0" xfId="0" applyNumberFormat="1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1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2" borderId="0" xfId="0" applyFont="1" applyFill="1"/>
    <xf numFmtId="0" fontId="1" fillId="2" borderId="0" xfId="0" applyFont="1" applyFill="1"/>
    <xf numFmtId="164" fontId="2" fillId="2" borderId="0" xfId="2" applyNumberFormat="1" applyFont="1" applyFill="1"/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164" fontId="2" fillId="5" borderId="4" xfId="2" applyNumberFormat="1" applyFont="1" applyFill="1" applyBorder="1" applyAlignment="1">
      <alignment horizontal="center"/>
    </xf>
    <xf numFmtId="164" fontId="2" fillId="5" borderId="6" xfId="2" applyNumberFormat="1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8" xfId="0" applyFont="1" applyFill="1" applyBorder="1" applyAlignment="1">
      <alignment horizontal="center"/>
    </xf>
    <xf numFmtId="165" fontId="2" fillId="4" borderId="0" xfId="0" applyNumberFormat="1" applyFont="1" applyFill="1" applyAlignment="1">
      <alignment horizontal="center"/>
    </xf>
    <xf numFmtId="14" fontId="2" fillId="4" borderId="0" xfId="0" applyNumberFormat="1" applyFont="1" applyFill="1" applyAlignment="1">
      <alignment horizontal="center"/>
    </xf>
    <xf numFmtId="1" fontId="2" fillId="2" borderId="0" xfId="0" applyNumberFormat="1" applyFont="1" applyFill="1"/>
    <xf numFmtId="43" fontId="2" fillId="2" borderId="0" xfId="1" applyFont="1" applyFill="1"/>
    <xf numFmtId="164" fontId="2" fillId="4" borderId="9" xfId="2" applyNumberFormat="1" applyFont="1" applyFill="1" applyBorder="1" applyAlignment="1">
      <alignment horizontal="center"/>
    </xf>
    <xf numFmtId="164" fontId="2" fillId="4" borderId="0" xfId="2" applyNumberFormat="1" applyFont="1" applyFill="1" applyBorder="1" applyAlignment="1">
      <alignment horizontal="center"/>
    </xf>
    <xf numFmtId="164" fontId="2" fillId="4" borderId="10" xfId="2" applyNumberFormat="1" applyFont="1" applyFill="1" applyBorder="1" applyAlignment="1">
      <alignment horizontal="center"/>
    </xf>
    <xf numFmtId="14" fontId="2" fillId="3" borderId="1" xfId="0" applyNumberFormat="1" applyFont="1" applyFill="1" applyBorder="1" applyAlignment="1">
      <alignment horizontal="center"/>
    </xf>
    <xf numFmtId="14" fontId="2" fillId="3" borderId="9" xfId="0" applyNumberFormat="1" applyFont="1" applyFill="1" applyBorder="1" applyAlignment="1">
      <alignment horizontal="center"/>
    </xf>
    <xf numFmtId="166" fontId="2" fillId="3" borderId="9" xfId="1" applyNumberFormat="1" applyFont="1" applyFill="1" applyBorder="1" applyAlignment="1">
      <alignment horizontal="center"/>
    </xf>
    <xf numFmtId="14" fontId="2" fillId="3" borderId="3" xfId="0" applyNumberFormat="1" applyFont="1" applyFill="1" applyBorder="1" applyAlignment="1">
      <alignment horizontal="center"/>
    </xf>
    <xf numFmtId="14" fontId="2" fillId="3" borderId="0" xfId="0" applyNumberFormat="1" applyFont="1" applyFill="1" applyBorder="1" applyAlignment="1">
      <alignment horizontal="center"/>
    </xf>
    <xf numFmtId="166" fontId="2" fillId="3" borderId="0" xfId="1" applyNumberFormat="1" applyFont="1" applyFill="1" applyBorder="1" applyAlignment="1">
      <alignment horizontal="center"/>
    </xf>
    <xf numFmtId="14" fontId="2" fillId="3" borderId="5" xfId="0" applyNumberFormat="1" applyFont="1" applyFill="1" applyBorder="1" applyAlignment="1">
      <alignment horizontal="center"/>
    </xf>
    <xf numFmtId="14" fontId="2" fillId="3" borderId="10" xfId="0" applyNumberFormat="1" applyFont="1" applyFill="1" applyBorder="1" applyAlignment="1">
      <alignment horizontal="center"/>
    </xf>
    <xf numFmtId="166" fontId="2" fillId="3" borderId="10" xfId="1" applyNumberFormat="1" applyFont="1" applyFill="1" applyBorder="1" applyAlignment="1">
      <alignment horizontal="center"/>
    </xf>
    <xf numFmtId="167" fontId="2" fillId="2" borderId="0" xfId="2" applyNumberFormat="1" applyFont="1" applyFill="1"/>
    <xf numFmtId="168" fontId="2" fillId="4" borderId="11" xfId="1" applyNumberFormat="1" applyFont="1" applyFill="1" applyBorder="1" applyAlignment="1">
      <alignment horizontal="center"/>
    </xf>
    <xf numFmtId="168" fontId="2" fillId="4" borderId="12" xfId="0" applyNumberFormat="1" applyFont="1" applyFill="1" applyBorder="1" applyAlignment="1">
      <alignment horizontal="center"/>
    </xf>
    <xf numFmtId="168" fontId="2" fillId="4" borderId="13" xfId="0" applyNumberFormat="1" applyFont="1" applyFill="1" applyBorder="1" applyAlignment="1">
      <alignment horizontal="center"/>
    </xf>
    <xf numFmtId="164" fontId="2" fillId="3" borderId="9" xfId="2" applyNumberFormat="1" applyFont="1" applyFill="1" applyBorder="1"/>
    <xf numFmtId="164" fontId="2" fillId="3" borderId="0" xfId="2" applyNumberFormat="1" applyFont="1" applyFill="1" applyBorder="1"/>
    <xf numFmtId="164" fontId="2" fillId="3" borderId="10" xfId="2" applyNumberFormat="1" applyFont="1" applyFill="1" applyBorder="1"/>
    <xf numFmtId="166" fontId="2" fillId="4" borderId="2" xfId="1" applyNumberFormat="1" applyFont="1" applyFill="1" applyBorder="1"/>
    <xf numFmtId="166" fontId="2" fillId="4" borderId="4" xfId="1" applyNumberFormat="1" applyFont="1" applyFill="1" applyBorder="1"/>
    <xf numFmtId="166" fontId="2" fillId="4" borderId="6" xfId="1" applyNumberFormat="1" applyFont="1" applyFill="1" applyBorder="1"/>
    <xf numFmtId="166" fontId="2" fillId="4" borderId="0" xfId="1" applyNumberFormat="1" applyFont="1" applyFill="1"/>
    <xf numFmtId="164" fontId="2" fillId="4" borderId="0" xfId="2" applyNumberFormat="1" applyFont="1" applyFill="1"/>
    <xf numFmtId="14" fontId="2" fillId="4" borderId="0" xfId="0" applyNumberFormat="1" applyFont="1" applyFill="1"/>
    <xf numFmtId="169" fontId="2" fillId="4" borderId="0" xfId="1" applyNumberFormat="1" applyFont="1" applyFill="1"/>
    <xf numFmtId="169" fontId="2" fillId="2" borderId="14" xfId="0" applyNumberFormat="1" applyFont="1" applyFill="1" applyBorder="1"/>
    <xf numFmtId="166" fontId="2" fillId="4" borderId="9" xfId="1" applyNumberFormat="1" applyFont="1" applyFill="1" applyBorder="1" applyAlignment="1">
      <alignment horizontal="center"/>
    </xf>
    <xf numFmtId="166" fontId="2" fillId="4" borderId="0" xfId="1" applyNumberFormat="1" applyFont="1" applyFill="1" applyBorder="1"/>
    <xf numFmtId="166" fontId="2" fillId="4" borderId="10" xfId="1" applyNumberFormat="1" applyFont="1" applyFill="1" applyBorder="1"/>
    <xf numFmtId="43" fontId="1" fillId="2" borderId="0" xfId="1" applyFont="1" applyFill="1"/>
    <xf numFmtId="14" fontId="2" fillId="6" borderId="0" xfId="0" applyNumberFormat="1" applyFont="1" applyFill="1"/>
    <xf numFmtId="166" fontId="2" fillId="6" borderId="0" xfId="1" applyNumberFormat="1" applyFont="1" applyFill="1"/>
    <xf numFmtId="10" fontId="2" fillId="6" borderId="0" xfId="0" applyNumberFormat="1" applyFont="1" applyFill="1"/>
    <xf numFmtId="10" fontId="2" fillId="2" borderId="0" xfId="2" applyNumberFormat="1" applyFont="1" applyFill="1"/>
    <xf numFmtId="14" fontId="2" fillId="2" borderId="0" xfId="0" applyNumberFormat="1" applyFont="1" applyFill="1"/>
    <xf numFmtId="164" fontId="2" fillId="5" borderId="11" xfId="2" applyNumberFormat="1" applyFont="1" applyFill="1" applyBorder="1" applyAlignment="1">
      <alignment horizontal="center"/>
    </xf>
    <xf numFmtId="164" fontId="2" fillId="5" borderId="12" xfId="2" applyNumberFormat="1" applyFont="1" applyFill="1" applyBorder="1" applyAlignment="1">
      <alignment horizontal="center"/>
    </xf>
    <xf numFmtId="164" fontId="2" fillId="5" borderId="13" xfId="2" applyNumberFormat="1" applyFont="1" applyFill="1" applyBorder="1" applyAlignment="1">
      <alignment horizontal="center"/>
    </xf>
    <xf numFmtId="165" fontId="2" fillId="2" borderId="0" xfId="0" applyNumberFormat="1" applyFont="1" applyFill="1"/>
    <xf numFmtId="22" fontId="2" fillId="2" borderId="0" xfId="0" applyNumberFormat="1" applyFont="1" applyFill="1"/>
    <xf numFmtId="165" fontId="2" fillId="4" borderId="0" xfId="0" applyNumberFormat="1" applyFont="1" applyFill="1"/>
    <xf numFmtId="168" fontId="2" fillId="2" borderId="0" xfId="2" applyNumberFormat="1" applyFont="1" applyFill="1"/>
    <xf numFmtId="164" fontId="2" fillId="2" borderId="0" xfId="0" applyNumberFormat="1" applyFont="1" applyFill="1"/>
    <xf numFmtId="43" fontId="2" fillId="2" borderId="0" xfId="1" applyNumberFormat="1" applyFont="1" applyFill="1"/>
    <xf numFmtId="2" fontId="2" fillId="2" borderId="0" xfId="0" applyNumberFormat="1" applyFont="1" applyFill="1" applyAlignment="1">
      <alignment horizontal="center"/>
    </xf>
    <xf numFmtId="0" fontId="2" fillId="3" borderId="15" xfId="0" applyFont="1" applyFill="1" applyBorder="1"/>
    <xf numFmtId="0" fontId="2" fillId="8" borderId="16" xfId="0" applyFont="1" applyFill="1" applyBorder="1"/>
    <xf numFmtId="43" fontId="2" fillId="8" borderId="8" xfId="1" applyFont="1" applyFill="1" applyBorder="1"/>
    <xf numFmtId="0" fontId="2" fillId="8" borderId="7" xfId="0" applyFont="1" applyFill="1" applyBorder="1"/>
    <xf numFmtId="0" fontId="4" fillId="2" borderId="0" xfId="0" applyFont="1" applyFill="1"/>
    <xf numFmtId="0" fontId="4" fillId="9" borderId="0" xfId="0" applyFont="1" applyFill="1"/>
    <xf numFmtId="165" fontId="2" fillId="3" borderId="0" xfId="0" applyNumberFormat="1" applyFont="1" applyFill="1" applyAlignment="1">
      <alignment horizontal="center"/>
    </xf>
  </cellXfs>
  <cellStyles count="6">
    <cellStyle name="Comma" xfId="1" builtinId="3"/>
    <cellStyle name="Comma 2" xfId="4" xr:uid="{61671890-B2E8-43D9-92F9-C4CC54425066}"/>
    <cellStyle name="Comma 3" xfId="3" xr:uid="{11947046-6B93-4081-AF42-F63364CBF110}"/>
    <cellStyle name="Comma 4" xfId="5" xr:uid="{697EF238-37E2-4064-9A7B-BDC1629B10A9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a-DK"/>
              <a:t>Swap 1Y Fwd Gaps + Changes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'5. RV'!$F$4</c:f>
              <c:strCache>
                <c:ptCount val="1"/>
                <c:pt idx="0">
                  <c:v>1w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'5. RV'!$D$5:$D$34</c:f>
              <c:strCache>
                <c:ptCount val="30"/>
                <c:pt idx="0">
                  <c:v>2b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  <c:pt idx="27">
                  <c:v>27y</c:v>
                </c:pt>
                <c:pt idx="28">
                  <c:v>28y</c:v>
                </c:pt>
                <c:pt idx="29">
                  <c:v>29y</c:v>
                </c:pt>
              </c:strCache>
            </c:strRef>
          </c:cat>
          <c:val>
            <c:numRef>
              <c:f>'5. RV'!$F$5:$F$34</c:f>
              <c:numCache>
                <c:formatCode>_(* #,##0.00_);_(* \(#,##0.00\);_(* "-"??_);_(@_)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3D-462C-A087-CA1D232C9938}"/>
            </c:ext>
          </c:extLst>
        </c:ser>
        <c:ser>
          <c:idx val="2"/>
          <c:order val="2"/>
          <c:tx>
            <c:strRef>
              <c:f>'5. RV'!$G$4</c:f>
              <c:strCache>
                <c:ptCount val="1"/>
                <c:pt idx="0">
                  <c:v>1m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'5. RV'!$D$5:$D$34</c:f>
              <c:strCache>
                <c:ptCount val="30"/>
                <c:pt idx="0">
                  <c:v>2b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  <c:pt idx="27">
                  <c:v>27y</c:v>
                </c:pt>
                <c:pt idx="28">
                  <c:v>28y</c:v>
                </c:pt>
                <c:pt idx="29">
                  <c:v>29y</c:v>
                </c:pt>
              </c:strCache>
            </c:strRef>
          </c:cat>
          <c:val>
            <c:numRef>
              <c:f>'5. RV'!$G$5:$G$34</c:f>
              <c:numCache>
                <c:formatCode>_(* #,##0.00_);_(* \(#,##0.00\);_(* "-"??_);_(@_)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3D-462C-A087-CA1D232C9938}"/>
            </c:ext>
          </c:extLst>
        </c:ser>
        <c:ser>
          <c:idx val="3"/>
          <c:order val="3"/>
          <c:tx>
            <c:strRef>
              <c:f>'5. RV'!$H$4</c:f>
              <c:strCache>
                <c:ptCount val="1"/>
                <c:pt idx="0">
                  <c:v>3m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'5. RV'!$D$5:$D$34</c:f>
              <c:strCache>
                <c:ptCount val="30"/>
                <c:pt idx="0">
                  <c:v>2b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  <c:pt idx="27">
                  <c:v>27y</c:v>
                </c:pt>
                <c:pt idx="28">
                  <c:v>28y</c:v>
                </c:pt>
                <c:pt idx="29">
                  <c:v>29y</c:v>
                </c:pt>
              </c:strCache>
            </c:strRef>
          </c:cat>
          <c:val>
            <c:numRef>
              <c:f>'5. RV'!$H$5:$H$34</c:f>
              <c:numCache>
                <c:formatCode>_(* #,##0.00_);_(* \(#,##0.00\);_(* "-"??_);_(@_)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3D-462C-A087-CA1D232C9938}"/>
            </c:ext>
          </c:extLst>
        </c:ser>
        <c:ser>
          <c:idx val="4"/>
          <c:order val="4"/>
          <c:tx>
            <c:strRef>
              <c:f>'5. RV'!$I$4</c:f>
              <c:strCache>
                <c:ptCount val="1"/>
                <c:pt idx="0">
                  <c:v>6m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'5. RV'!$D$5:$D$34</c:f>
              <c:strCache>
                <c:ptCount val="30"/>
                <c:pt idx="0">
                  <c:v>2b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  <c:pt idx="27">
                  <c:v>27y</c:v>
                </c:pt>
                <c:pt idx="28">
                  <c:v>28y</c:v>
                </c:pt>
                <c:pt idx="29">
                  <c:v>29y</c:v>
                </c:pt>
              </c:strCache>
            </c:strRef>
          </c:cat>
          <c:val>
            <c:numRef>
              <c:f>'5. RV'!$I$5:$I$34</c:f>
              <c:numCache>
                <c:formatCode>_(* #,##0.00_);_(* \(#,##0.00\);_(* "-"??_);_(@_)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3D-462C-A087-CA1D232C9938}"/>
            </c:ext>
          </c:extLst>
        </c:ser>
        <c:ser>
          <c:idx val="5"/>
          <c:order val="5"/>
          <c:tx>
            <c:strRef>
              <c:f>'5. RV'!$J$4</c:f>
              <c:strCache>
                <c:ptCount val="1"/>
                <c:pt idx="0">
                  <c:v>ytd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'5. RV'!$D$5:$D$34</c:f>
              <c:strCache>
                <c:ptCount val="30"/>
                <c:pt idx="0">
                  <c:v>2b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  <c:pt idx="27">
                  <c:v>27y</c:v>
                </c:pt>
                <c:pt idx="28">
                  <c:v>28y</c:v>
                </c:pt>
                <c:pt idx="29">
                  <c:v>29y</c:v>
                </c:pt>
              </c:strCache>
            </c:strRef>
          </c:cat>
          <c:val>
            <c:numRef>
              <c:f>'5. RV'!$J$5:$J$34</c:f>
              <c:numCache>
                <c:formatCode>_(* #,##0.00_);_(* \(#,##0.00\);_(* "-"??_);_(@_)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93D-462C-A087-CA1D232C9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24280239"/>
        <c:axId val="994881599"/>
      </c:barChart>
      <c:lineChart>
        <c:grouping val="standard"/>
        <c:varyColors val="0"/>
        <c:ser>
          <c:idx val="0"/>
          <c:order val="0"/>
          <c:tx>
            <c:strRef>
              <c:f>'5. RV'!$E$4</c:f>
              <c:strCache>
                <c:ptCount val="1"/>
                <c:pt idx="0">
                  <c:v>RT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'5. RV'!$D$5:$D$34</c:f>
              <c:strCache>
                <c:ptCount val="30"/>
                <c:pt idx="0">
                  <c:v>2b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  <c:pt idx="27">
                  <c:v>27y</c:v>
                </c:pt>
                <c:pt idx="28">
                  <c:v>28y</c:v>
                </c:pt>
                <c:pt idx="29">
                  <c:v>29y</c:v>
                </c:pt>
              </c:strCache>
            </c:strRef>
          </c:cat>
          <c:val>
            <c:numRef>
              <c:f>'5. RV'!$E$5:$E$34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62C-A087-CA1D232C9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5343071"/>
        <c:axId val="994849983"/>
      </c:lineChart>
      <c:catAx>
        <c:axId val="1145343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849983"/>
        <c:crosses val="autoZero"/>
        <c:auto val="1"/>
        <c:lblAlgn val="ctr"/>
        <c:lblOffset val="100"/>
        <c:noMultiLvlLbl val="0"/>
      </c:catAx>
      <c:valAx>
        <c:axId val="99484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343071"/>
        <c:crosses val="autoZero"/>
        <c:crossBetween val="between"/>
      </c:valAx>
      <c:valAx>
        <c:axId val="994881599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280239"/>
        <c:crosses val="max"/>
        <c:crossBetween val="between"/>
      </c:valAx>
      <c:catAx>
        <c:axId val="102428023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48815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a-DK"/>
              <a:t>DKK Stater</a:t>
            </a:r>
          </a:p>
        </c:rich>
      </c:tx>
      <c:layout>
        <c:manualLayout>
          <c:xMode val="edge"/>
          <c:yMode val="edge"/>
          <c:x val="0.39861111111111114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'5. RV'!$O$5:$O$14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'5. RV'!$R$5:$R$14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4-45C6-BB2F-C9A317A00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9074991"/>
        <c:axId val="2115701839"/>
      </c:lineChart>
      <c:catAx>
        <c:axId val="80907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701839"/>
        <c:crosses val="autoZero"/>
        <c:auto val="1"/>
        <c:lblAlgn val="ctr"/>
        <c:lblOffset val="100"/>
        <c:noMultiLvlLbl val="0"/>
      </c:catAx>
      <c:valAx>
        <c:axId val="211570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a-DK"/>
              <a:t>DKK Stater - Forwards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'5. RV'!$O$5:$O$13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cat>
          <c:val>
            <c:numRef>
              <c:f>'5. RV'!$S$5:$S$13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99-48D9-A5E3-D5C859A86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9077951"/>
        <c:axId val="2115695599"/>
      </c:lineChart>
      <c:catAx>
        <c:axId val="939077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695599"/>
        <c:crosses val="autoZero"/>
        <c:auto val="1"/>
        <c:lblAlgn val="ctr"/>
        <c:lblOffset val="100"/>
        <c:noMultiLvlLbl val="0"/>
      </c:catAx>
      <c:valAx>
        <c:axId val="211569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77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a-DK"/>
              <a:t>DKK Stater ASW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'5. RV'!$O$5:$O$13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cat>
          <c:val>
            <c:numRef>
              <c:f>'5. RV'!$T$5:$T$13</c:f>
              <c:numCache>
                <c:formatCode>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61-43E0-A329-1ADA84F4B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9079151"/>
        <c:axId val="209645551"/>
      </c:lineChart>
      <c:catAx>
        <c:axId val="939079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45551"/>
        <c:crosses val="autoZero"/>
        <c:auto val="1"/>
        <c:lblAlgn val="ctr"/>
        <c:lblOffset val="100"/>
        <c:noMultiLvlLbl val="0"/>
      </c:catAx>
      <c:valAx>
        <c:axId val="209645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7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a-DK"/>
              <a:t>DKK Stater ASW - Forwards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'5. RV'!$O$5:$O$12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'5. RV'!$U$5:$U$12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95-443D-9508-86A18D477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6564175"/>
        <c:axId val="209637647"/>
      </c:lineChart>
      <c:catAx>
        <c:axId val="946564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37647"/>
        <c:crosses val="autoZero"/>
        <c:auto val="1"/>
        <c:lblAlgn val="ctr"/>
        <c:lblOffset val="100"/>
        <c:noMultiLvlLbl val="0"/>
      </c:catAx>
      <c:valAx>
        <c:axId val="209637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56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581025</xdr:colOff>
      <xdr:row>18</xdr:row>
      <xdr:rowOff>86787</xdr:rowOff>
    </xdr:from>
    <xdr:to>
      <xdr:col>20</xdr:col>
      <xdr:colOff>170340</xdr:colOff>
      <xdr:row>24</xdr:row>
      <xdr:rowOff>9328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5C30D3-195A-4116-9FE7-9E59BEFD6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34700" y="3515787"/>
          <a:ext cx="6018690" cy="1065541"/>
        </a:xfrm>
        <a:prstGeom prst="rect">
          <a:avLst/>
        </a:prstGeom>
      </xdr:spPr>
    </xdr:pic>
    <xdr:clientData/>
  </xdr:twoCellAnchor>
  <xdr:twoCellAnchor editAs="oneCell">
    <xdr:from>
      <xdr:col>10</xdr:col>
      <xdr:colOff>552450</xdr:colOff>
      <xdr:row>27</xdr:row>
      <xdr:rowOff>19050</xdr:rowOff>
    </xdr:from>
    <xdr:to>
      <xdr:col>15</xdr:col>
      <xdr:colOff>218694</xdr:colOff>
      <xdr:row>29</xdr:row>
      <xdr:rowOff>66621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D02B8D6-7195-47CB-90CF-71BA98B3B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06125" y="5162550"/>
          <a:ext cx="3047619" cy="428571"/>
        </a:xfrm>
        <a:prstGeom prst="rect">
          <a:avLst/>
        </a:prstGeom>
      </xdr:spPr>
    </xdr:pic>
    <xdr:clientData/>
  </xdr:twoCellAnchor>
  <xdr:twoCellAnchor editAs="oneCell">
    <xdr:from>
      <xdr:col>10</xdr:col>
      <xdr:colOff>552450</xdr:colOff>
      <xdr:row>31</xdr:row>
      <xdr:rowOff>57150</xdr:rowOff>
    </xdr:from>
    <xdr:to>
      <xdr:col>15</xdr:col>
      <xdr:colOff>285361</xdr:colOff>
      <xdr:row>33</xdr:row>
      <xdr:rowOff>95198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396C558-DDB8-4FF4-B157-A89B79E82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06125" y="5962650"/>
          <a:ext cx="3114286" cy="4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246591</xdr:colOff>
      <xdr:row>2</xdr:row>
      <xdr:rowOff>105834</xdr:rowOff>
    </xdr:from>
    <xdr:to>
      <xdr:col>11</xdr:col>
      <xdr:colOff>518583</xdr:colOff>
      <xdr:row>35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463AFA-9DD1-4137-BE34-06C11F1D6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603250</xdr:colOff>
      <xdr:row>14</xdr:row>
      <xdr:rowOff>88900</xdr:rowOff>
    </xdr:from>
    <xdr:to>
      <xdr:col>18</xdr:col>
      <xdr:colOff>42334</xdr:colOff>
      <xdr:row>28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23CE90-94A1-4172-B89A-F0E8DE166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592667</xdr:colOff>
      <xdr:row>28</xdr:row>
      <xdr:rowOff>152400</xdr:rowOff>
    </xdr:from>
    <xdr:to>
      <xdr:col>18</xdr:col>
      <xdr:colOff>31751</xdr:colOff>
      <xdr:row>43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DFAA5D-C8C6-4159-B4CC-2406F87620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10584</xdr:colOff>
      <xdr:row>14</xdr:row>
      <xdr:rowOff>99485</xdr:rowOff>
    </xdr:from>
    <xdr:to>
      <xdr:col>25</xdr:col>
      <xdr:colOff>285750</xdr:colOff>
      <xdr:row>28</xdr:row>
      <xdr:rowOff>175685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660C83-D37C-40F9-929F-275BF6FA6E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15874</xdr:colOff>
      <xdr:row>28</xdr:row>
      <xdr:rowOff>152401</xdr:rowOff>
    </xdr:from>
    <xdr:to>
      <xdr:col>25</xdr:col>
      <xdr:colOff>291040</xdr:colOff>
      <xdr:row>43</xdr:row>
      <xdr:rowOff>38101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CDEEB40-EE6D-45EF-B4A9-C492A1844F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5FAA4-D405-4564-BF0A-522846472C41}">
  <sheetPr codeName="Sheet1"/>
  <dimension ref="B2:AK49"/>
  <sheetViews>
    <sheetView tabSelected="1" topLeftCell="A7" workbookViewId="0">
      <selection activeCell="I18" sqref="I18"/>
    </sheetView>
  </sheetViews>
  <sheetFormatPr defaultRowHeight="15" x14ac:dyDescent="0.25"/>
  <cols>
    <col min="1" max="1" width="9.140625" style="1"/>
    <col min="2" max="2" width="22.7109375" style="1" customWidth="1"/>
    <col min="3" max="3" width="21.28515625" style="1" customWidth="1"/>
    <col min="4" max="4" width="9.140625" style="1"/>
    <col min="5" max="5" width="17.5703125" style="10" bestFit="1" customWidth="1"/>
    <col min="6" max="6" width="21" style="1" customWidth="1"/>
    <col min="7" max="7" width="25.42578125" style="1" customWidth="1"/>
    <col min="8" max="8" width="9.140625" style="1"/>
    <col min="9" max="9" width="26.7109375" style="1" bestFit="1" customWidth="1"/>
    <col min="10" max="10" width="15.85546875" style="1" bestFit="1" customWidth="1"/>
    <col min="11" max="11" width="9.140625" style="1"/>
    <col min="12" max="12" width="15.5703125" style="1" customWidth="1"/>
    <col min="13" max="13" width="5.7109375" style="1" bestFit="1" customWidth="1"/>
    <col min="14" max="14" width="11.140625" style="1" bestFit="1" customWidth="1"/>
    <col min="15" max="23" width="9.140625" style="1"/>
    <col min="24" max="24" width="23.140625" style="1" bestFit="1" customWidth="1"/>
    <col min="25" max="25" width="25.5703125" style="1" bestFit="1" customWidth="1"/>
    <col min="26" max="26" width="9.140625" style="1"/>
    <col min="27" max="27" width="21.42578125" style="1" bestFit="1" customWidth="1"/>
    <col min="28" max="28" width="25.5703125" style="1" bestFit="1" customWidth="1"/>
    <col min="29" max="29" width="9.140625" style="1"/>
    <col min="30" max="30" width="21.42578125" style="1" bestFit="1" customWidth="1"/>
    <col min="31" max="31" width="25.5703125" style="1" bestFit="1" customWidth="1"/>
    <col min="32" max="32" width="9.140625" style="1"/>
    <col min="33" max="33" width="21.42578125" style="1" bestFit="1" customWidth="1"/>
    <col min="34" max="34" width="25.5703125" style="1" bestFit="1" customWidth="1"/>
    <col min="35" max="35" width="9.140625" style="1"/>
    <col min="36" max="36" width="21.42578125" style="1" bestFit="1" customWidth="1"/>
    <col min="37" max="37" width="25.5703125" style="1" bestFit="1" customWidth="1"/>
    <col min="38" max="16384" width="9.140625" style="1"/>
  </cols>
  <sheetData>
    <row r="2" spans="2:37" x14ac:dyDescent="0.25">
      <c r="B2" s="1" t="s">
        <v>8</v>
      </c>
      <c r="C2" s="3"/>
      <c r="E2" s="1" t="s">
        <v>109</v>
      </c>
      <c r="F2" s="77">
        <v>0.66666666666666663</v>
      </c>
    </row>
    <row r="3" spans="2:37" x14ac:dyDescent="0.25">
      <c r="B3" s="1" t="s">
        <v>9</v>
      </c>
      <c r="C3" s="4"/>
      <c r="E3" s="1" t="s">
        <v>104</v>
      </c>
      <c r="F3" s="7" t="s">
        <v>105</v>
      </c>
    </row>
    <row r="4" spans="2:37" x14ac:dyDescent="0.25">
      <c r="B4" s="1" t="s">
        <v>10</v>
      </c>
      <c r="C4" s="5"/>
    </row>
    <row r="5" spans="2:37" x14ac:dyDescent="0.25">
      <c r="B5" s="1" t="s">
        <v>11</v>
      </c>
      <c r="C5" s="6"/>
    </row>
    <row r="7" spans="2:37" x14ac:dyDescent="0.25">
      <c r="I7" s="1" t="s">
        <v>108</v>
      </c>
      <c r="J7" s="65" t="e">
        <f ca="1">C19+$F$2</f>
        <v>#NAME?</v>
      </c>
    </row>
    <row r="8" spans="2:37" x14ac:dyDescent="0.25">
      <c r="B8" s="2" t="s">
        <v>1</v>
      </c>
      <c r="F8" s="11" t="s">
        <v>53</v>
      </c>
      <c r="I8" s="11" t="s">
        <v>107</v>
      </c>
      <c r="X8" s="11" t="str">
        <f>B27</f>
        <v>1W</v>
      </c>
      <c r="Y8" s="65" t="e">
        <f ca="1">C27+F2</f>
        <v>#NAME?</v>
      </c>
      <c r="AA8" s="11" t="str">
        <f>B28</f>
        <v>1M</v>
      </c>
      <c r="AB8" s="65" t="e">
        <f ca="1">C28+F2</f>
        <v>#NAME?</v>
      </c>
      <c r="AD8" s="11" t="str">
        <f>B29</f>
        <v>3M</v>
      </c>
      <c r="AE8" s="65" t="e">
        <f ca="1">C29+F2</f>
        <v>#NAME?</v>
      </c>
      <c r="AG8" s="11" t="str">
        <f>B30</f>
        <v>6M</v>
      </c>
      <c r="AH8" s="65" t="e">
        <f ca="1">C30+F2</f>
        <v>#NAME?</v>
      </c>
      <c r="AJ8" s="11" t="str">
        <f>B31</f>
        <v>YTD</v>
      </c>
      <c r="AK8" s="65" t="e">
        <f ca="1">C31+F2</f>
        <v>#NAME?</v>
      </c>
    </row>
    <row r="9" spans="2:37" x14ac:dyDescent="0.25">
      <c r="G9" s="1" t="s">
        <v>48</v>
      </c>
      <c r="X9" s="10"/>
      <c r="Y9" s="10" t="s">
        <v>48</v>
      </c>
      <c r="AA9" s="10"/>
      <c r="AB9" s="10" t="s">
        <v>48</v>
      </c>
      <c r="AD9" s="10"/>
      <c r="AE9" s="10" t="s">
        <v>48</v>
      </c>
      <c r="AG9" s="10"/>
      <c r="AH9" s="10" t="s">
        <v>48</v>
      </c>
      <c r="AJ9" s="10"/>
      <c r="AK9" s="10" t="s">
        <v>48</v>
      </c>
    </row>
    <row r="10" spans="2:37" x14ac:dyDescent="0.25">
      <c r="B10" s="1" t="s">
        <v>2</v>
      </c>
      <c r="C10" s="7">
        <f ca="1">TODAY()</f>
        <v>44144</v>
      </c>
      <c r="E10" s="19" t="s">
        <v>106</v>
      </c>
      <c r="F10" s="19" t="s">
        <v>12</v>
      </c>
      <c r="G10" s="20" t="s">
        <v>13</v>
      </c>
      <c r="I10" s="19" t="s">
        <v>12</v>
      </c>
      <c r="J10" s="20" t="s">
        <v>52</v>
      </c>
      <c r="X10" s="19" t="s">
        <v>12</v>
      </c>
      <c r="Y10" s="20" t="s">
        <v>13</v>
      </c>
      <c r="AA10" s="19" t="s">
        <v>12</v>
      </c>
      <c r="AB10" s="20" t="s">
        <v>13</v>
      </c>
      <c r="AD10" s="19" t="s">
        <v>12</v>
      </c>
      <c r="AE10" s="20" t="s">
        <v>13</v>
      </c>
      <c r="AG10" s="19" t="s">
        <v>12</v>
      </c>
      <c r="AH10" s="20" t="s">
        <v>13</v>
      </c>
      <c r="AJ10" s="19" t="s">
        <v>12</v>
      </c>
      <c r="AK10" s="20" t="s">
        <v>13</v>
      </c>
    </row>
    <row r="11" spans="2:37" x14ac:dyDescent="0.25">
      <c r="B11" s="1" t="s">
        <v>3</v>
      </c>
      <c r="C11" s="8" t="s">
        <v>4</v>
      </c>
      <c r="D11" s="1">
        <v>1</v>
      </c>
      <c r="E11" s="15" t="str">
        <f>"EUSA"&amp;D11&amp;" Curncy"</f>
        <v>EUSA1 Curncy</v>
      </c>
      <c r="F11" s="15" t="s">
        <v>14</v>
      </c>
      <c r="G11" s="61">
        <v>-5.1700000000000001E-3</v>
      </c>
      <c r="I11" s="15" t="s">
        <v>14</v>
      </c>
      <c r="J11" s="61">
        <v>-5.1700000000000001E-3</v>
      </c>
      <c r="K11" s="12"/>
      <c r="L11" s="24" t="s">
        <v>54</v>
      </c>
      <c r="M11" s="23"/>
      <c r="X11" s="15" t="s">
        <v>14</v>
      </c>
      <c r="Y11" s="17" t="e" cm="1">
        <f t="array" aca="1" ref="Y11" ca="1">_xll.BDH(E11,$F$3,$Y$8,$Y$8)/100</f>
        <v>#NAME?</v>
      </c>
      <c r="AA11" s="15" t="s">
        <v>14</v>
      </c>
      <c r="AB11" s="17" t="e" cm="1">
        <f t="array" aca="1" ref="AB11" ca="1">_xll.BDH(E11,$F$3,$AB$8,$AB$8)/100</f>
        <v>#NAME?</v>
      </c>
      <c r="AD11" s="15" t="s">
        <v>14</v>
      </c>
      <c r="AE11" s="17" t="e" cm="1">
        <f t="array" aca="1" ref="AE11" ca="1">_xll.BDH(E11,$F$3,$AE$8,$AE$8)/100</f>
        <v>#NAME?</v>
      </c>
      <c r="AG11" s="15" t="s">
        <v>14</v>
      </c>
      <c r="AH11" s="17" t="e" cm="1">
        <f t="array" aca="1" ref="AH11" ca="1">_xll.BDH(E11,$F$3,$AH$8,$AH$8)/100</f>
        <v>#NAME?</v>
      </c>
      <c r="AJ11" s="15" t="s">
        <v>14</v>
      </c>
      <c r="AK11" s="17" t="e" cm="1">
        <f t="array" aca="1" ref="AK11" ca="1">_xll.BDH(E11,$F$3,$AK$8,$AK$8)/100</f>
        <v>#NAME?</v>
      </c>
    </row>
    <row r="12" spans="2:37" x14ac:dyDescent="0.25">
      <c r="B12" s="1" t="s">
        <v>5</v>
      </c>
      <c r="C12" s="9" t="e" cm="1">
        <f t="array" aca="1" ref="C12" ca="1">_xll.daCreateModel(C10,C11)</f>
        <v>#NAME?</v>
      </c>
      <c r="D12" s="1">
        <v>2</v>
      </c>
      <c r="E12" s="15" t="str">
        <f t="shared" ref="E12:E21" si="0">"EUSA"&amp;D12&amp;" Curncy"</f>
        <v>EUSA2 Curncy</v>
      </c>
      <c r="F12" s="15" t="s">
        <v>15</v>
      </c>
      <c r="G12" s="62">
        <v>-5.3280000000000003E-3</v>
      </c>
      <c r="H12" s="10"/>
      <c r="I12" s="15" t="s">
        <v>15</v>
      </c>
      <c r="J12" s="62">
        <v>-5.3280000000000003E-3</v>
      </c>
      <c r="K12" s="12"/>
      <c r="L12" s="24"/>
      <c r="M12" s="23"/>
      <c r="X12" s="15" t="s">
        <v>15</v>
      </c>
      <c r="Y12" s="17" t="e" cm="1">
        <f t="array" aca="1" ref="Y12" ca="1">_xll.BDH(E12,$F$3,$Y$8,$Y$8)/100</f>
        <v>#NAME?</v>
      </c>
      <c r="AA12" s="15" t="s">
        <v>15</v>
      </c>
      <c r="AB12" s="17" t="e" cm="1">
        <f t="array" aca="1" ref="AB12" ca="1">_xll.BDH(E12,$F$3,$AB$8,$AB$8)/100</f>
        <v>#NAME?</v>
      </c>
      <c r="AD12" s="15" t="s">
        <v>15</v>
      </c>
      <c r="AE12" s="17" t="e" cm="1">
        <f t="array" aca="1" ref="AE12" ca="1">_xll.BDH(E12,$F$3,$AE$8,$AE$8)/100</f>
        <v>#NAME?</v>
      </c>
      <c r="AG12" s="15" t="s">
        <v>15</v>
      </c>
      <c r="AH12" s="17" t="e" cm="1">
        <f t="array" aca="1" ref="AH12" ca="1">_xll.BDH(E12,$F$3,$AH$8,$AH$8)/100</f>
        <v>#NAME?</v>
      </c>
      <c r="AJ12" s="15" t="s">
        <v>15</v>
      </c>
      <c r="AK12" s="17" t="e" cm="1">
        <f t="array" aca="1" ref="AK12" ca="1">_xll.BDH(E12,$F$3,$AK$8,$AK$8)/100</f>
        <v>#NAME?</v>
      </c>
    </row>
    <row r="13" spans="2:37" x14ac:dyDescent="0.25">
      <c r="B13" s="1" t="s">
        <v>6</v>
      </c>
      <c r="C13" s="21" t="e" cm="1">
        <f t="array" aca="1" ref="C13" ca="1">_xll.daInputQuotes(C11,F11:F44,G11:G44)</f>
        <v>#NAME?</v>
      </c>
      <c r="D13" s="1">
        <v>3</v>
      </c>
      <c r="E13" s="15" t="str">
        <f t="shared" si="0"/>
        <v>EUSA3 Curncy</v>
      </c>
      <c r="F13" s="15" t="s">
        <v>16</v>
      </c>
      <c r="G13" s="62">
        <v>-5.2900000000000004E-3</v>
      </c>
      <c r="H13" s="10"/>
      <c r="I13" s="15" t="s">
        <v>16</v>
      </c>
      <c r="J13" s="62">
        <v>-5.2900000000000004E-3</v>
      </c>
      <c r="K13" s="12"/>
      <c r="L13" s="24"/>
      <c r="M13" s="23"/>
      <c r="X13" s="15" t="s">
        <v>16</v>
      </c>
      <c r="Y13" s="17" t="e" cm="1">
        <f t="array" aca="1" ref="Y13" ca="1">_xll.BDH(E13,$F$3,$Y$8,$Y$8)/100</f>
        <v>#NAME?</v>
      </c>
      <c r="AA13" s="15" t="s">
        <v>16</v>
      </c>
      <c r="AB13" s="17" t="e" cm="1">
        <f t="array" aca="1" ref="AB13" ca="1">_xll.BDH(E13,$F$3,$AB$8,$AB$8)/100</f>
        <v>#NAME?</v>
      </c>
      <c r="AD13" s="15" t="s">
        <v>16</v>
      </c>
      <c r="AE13" s="17" t="e" cm="1">
        <f t="array" aca="1" ref="AE13" ca="1">_xll.BDH(E13,$F$3,$AE$8,$AE$8)/100</f>
        <v>#NAME?</v>
      </c>
      <c r="AG13" s="15" t="s">
        <v>16</v>
      </c>
      <c r="AH13" s="17" t="e" cm="1">
        <f t="array" aca="1" ref="AH13" ca="1">_xll.BDH(E13,$F$3,$AH$8,$AH$8)/100</f>
        <v>#NAME?</v>
      </c>
      <c r="AJ13" s="15" t="s">
        <v>16</v>
      </c>
      <c r="AK13" s="17" t="e" cm="1">
        <f t="array" aca="1" ref="AK13" ca="1">_xll.BDH(E13,$F$3,$AK$8,$AK$8)/100</f>
        <v>#NAME?</v>
      </c>
    </row>
    <row r="14" spans="2:37" x14ac:dyDescent="0.25">
      <c r="B14" s="1" t="s">
        <v>7</v>
      </c>
      <c r="C14" s="21" t="e" cm="1">
        <f t="array" aca="1" ref="C14" ca="1">_xll.daLastCalibrated(C11)</f>
        <v>#NAME?</v>
      </c>
      <c r="D14" s="1">
        <v>4</v>
      </c>
      <c r="E14" s="15" t="str">
        <f t="shared" si="0"/>
        <v>EUSA4 Curncy</v>
      </c>
      <c r="F14" s="15" t="s">
        <v>17</v>
      </c>
      <c r="G14" s="62">
        <v>-5.0849999999999992E-3</v>
      </c>
      <c r="H14" s="10"/>
      <c r="I14" s="15" t="s">
        <v>17</v>
      </c>
      <c r="J14" s="62">
        <v>-5.0849999999999992E-3</v>
      </c>
      <c r="K14" s="12"/>
      <c r="L14" s="55" t="s">
        <v>90</v>
      </c>
      <c r="M14" s="23"/>
      <c r="X14" s="15" t="s">
        <v>17</v>
      </c>
      <c r="Y14" s="17" t="e" cm="1">
        <f t="array" aca="1" ref="Y14" ca="1">_xll.BDH(E14,$F$3,$Y$8,$Y$8)/100</f>
        <v>#NAME?</v>
      </c>
      <c r="AA14" s="15" t="s">
        <v>17</v>
      </c>
      <c r="AB14" s="17" t="e" cm="1">
        <f t="array" aca="1" ref="AB14" ca="1">_xll.BDH(E14,$F$3,$AB$8,$AB$8)/100</f>
        <v>#NAME?</v>
      </c>
      <c r="AD14" s="15" t="s">
        <v>17</v>
      </c>
      <c r="AE14" s="17" t="e" cm="1">
        <f t="array" aca="1" ref="AE14" ca="1">_xll.BDH(E14,$F$3,$AE$8,$AE$8)/100</f>
        <v>#NAME?</v>
      </c>
      <c r="AG14" s="15" t="s">
        <v>17</v>
      </c>
      <c r="AH14" s="17" t="e" cm="1">
        <f t="array" aca="1" ref="AH14" ca="1">_xll.BDH(E14,$F$3,$AH$8,$AH$8)/100</f>
        <v>#NAME?</v>
      </c>
      <c r="AJ14" s="15" t="s">
        <v>17</v>
      </c>
      <c r="AK14" s="17" t="e" cm="1">
        <f t="array" aca="1" ref="AK14" ca="1">_xll.BDH(E14,$F$3,$AK$8,$AK$8)/100</f>
        <v>#NAME?</v>
      </c>
    </row>
    <row r="15" spans="2:37" x14ac:dyDescent="0.25">
      <c r="B15" s="1" t="s">
        <v>157</v>
      </c>
      <c r="C15" s="21" t="e" cm="1">
        <f t="array" aca="1" ref="C15" ca="1">_xll.daLastValidInputQuote(C11)</f>
        <v>#NAME?</v>
      </c>
      <c r="D15" s="1">
        <v>5</v>
      </c>
      <c r="E15" s="15" t="str">
        <f t="shared" si="0"/>
        <v>EUSA5 Curncy</v>
      </c>
      <c r="F15" s="15" t="s">
        <v>18</v>
      </c>
      <c r="G15" s="62">
        <v>-4.79E-3</v>
      </c>
      <c r="H15" s="10"/>
      <c r="I15" s="15" t="s">
        <v>18</v>
      </c>
      <c r="J15" s="62">
        <v>-4.79E-3</v>
      </c>
      <c r="K15" s="12"/>
      <c r="L15" s="24" t="s">
        <v>158</v>
      </c>
      <c r="M15" s="23"/>
      <c r="X15" s="15" t="s">
        <v>18</v>
      </c>
      <c r="Y15" s="17" t="e" cm="1">
        <f t="array" aca="1" ref="Y15" ca="1">_xll.BDH(E15,$F$3,$Y$8,$Y$8)/100</f>
        <v>#NAME?</v>
      </c>
      <c r="AA15" s="15" t="s">
        <v>18</v>
      </c>
      <c r="AB15" s="17" t="e" cm="1">
        <f t="array" aca="1" ref="AB15" ca="1">_xll.BDH(E15,$F$3,$AB$8,$AB$8)/100</f>
        <v>#NAME?</v>
      </c>
      <c r="AD15" s="15" t="s">
        <v>18</v>
      </c>
      <c r="AE15" s="17" t="e" cm="1">
        <f t="array" aca="1" ref="AE15" ca="1">_xll.BDH(E15,$F$3,$AE$8,$AE$8)/100</f>
        <v>#NAME?</v>
      </c>
      <c r="AG15" s="15" t="s">
        <v>18</v>
      </c>
      <c r="AH15" s="17" t="e" cm="1">
        <f t="array" aca="1" ref="AH15" ca="1">_xll.BDH(E15,$F$3,$AH$8,$AH$8)/100</f>
        <v>#NAME?</v>
      </c>
      <c r="AJ15" s="15" t="s">
        <v>18</v>
      </c>
      <c r="AK15" s="17" t="e" cm="1">
        <f t="array" aca="1" ref="AK15" ca="1">_xll.BDH(E15,$F$3,$AK$8,$AK$8)/100</f>
        <v>#NAME?</v>
      </c>
    </row>
    <row r="16" spans="2:37" x14ac:dyDescent="0.25">
      <c r="B16" s="1" t="s">
        <v>49</v>
      </c>
      <c r="D16" s="1">
        <v>7</v>
      </c>
      <c r="E16" s="15" t="str">
        <f t="shared" si="0"/>
        <v>EUSA7 Curncy</v>
      </c>
      <c r="F16" s="15" t="s">
        <v>19</v>
      </c>
      <c r="G16" s="62">
        <v>-4.0799999999999994E-3</v>
      </c>
      <c r="H16" s="10"/>
      <c r="I16" s="15" t="s">
        <v>19</v>
      </c>
      <c r="J16" s="62">
        <v>-4.0799999999999994E-3</v>
      </c>
      <c r="K16" s="12"/>
      <c r="L16" s="24" t="s">
        <v>91</v>
      </c>
      <c r="M16" s="23"/>
      <c r="X16" s="15" t="s">
        <v>19</v>
      </c>
      <c r="Y16" s="17" t="e" cm="1">
        <f t="array" aca="1" ref="Y16" ca="1">_xll.BDH(E16,$F$3,$Y$8,$Y$8)/100</f>
        <v>#NAME?</v>
      </c>
      <c r="AA16" s="15" t="s">
        <v>19</v>
      </c>
      <c r="AB16" s="17" t="e" cm="1">
        <f t="array" aca="1" ref="AB16" ca="1">_xll.BDH(E16,$F$3,$AB$8,$AB$8)/100</f>
        <v>#NAME?</v>
      </c>
      <c r="AD16" s="15" t="s">
        <v>19</v>
      </c>
      <c r="AE16" s="17" t="e" cm="1">
        <f t="array" aca="1" ref="AE16" ca="1">_xll.BDH(E16,$F$3,$AE$8,$AE$8)/100</f>
        <v>#NAME?</v>
      </c>
      <c r="AG16" s="15" t="s">
        <v>19</v>
      </c>
      <c r="AH16" s="17" t="e" cm="1">
        <f t="array" aca="1" ref="AH16" ca="1">_xll.BDH(E16,$F$3,$AH$8,$AH$8)/100</f>
        <v>#NAME?</v>
      </c>
      <c r="AJ16" s="15" t="s">
        <v>19</v>
      </c>
      <c r="AK16" s="17" t="e" cm="1">
        <f t="array" aca="1" ref="AK16" ca="1">_xll.BDH(E16,$F$3,$AK$8,$AK$8)/100</f>
        <v>#NAME?</v>
      </c>
    </row>
    <row r="17" spans="2:37" x14ac:dyDescent="0.25">
      <c r="B17" s="1" t="s">
        <v>50</v>
      </c>
      <c r="D17" s="1">
        <v>10</v>
      </c>
      <c r="E17" s="15" t="str">
        <f t="shared" si="0"/>
        <v>EUSA10 Curncy</v>
      </c>
      <c r="F17" s="15" t="s">
        <v>20</v>
      </c>
      <c r="G17" s="62">
        <v>-2.7910000000000001E-3</v>
      </c>
      <c r="H17" s="10"/>
      <c r="I17" s="15" t="s">
        <v>20</v>
      </c>
      <c r="J17" s="62">
        <v>-2.7910000000000001E-3</v>
      </c>
      <c r="K17" s="12"/>
      <c r="L17" s="24"/>
      <c r="M17" s="23"/>
      <c r="X17" s="15" t="s">
        <v>20</v>
      </c>
      <c r="Y17" s="17" t="e" cm="1">
        <f t="array" aca="1" ref="Y17" ca="1">_xll.BDH(E17,$F$3,$Y$8,$Y$8)/100</f>
        <v>#NAME?</v>
      </c>
      <c r="AA17" s="15" t="s">
        <v>20</v>
      </c>
      <c r="AB17" s="17" t="e" cm="1">
        <f t="array" aca="1" ref="AB17" ca="1">_xll.BDH(E17,$F$3,$AB$8,$AB$8)/100</f>
        <v>#NAME?</v>
      </c>
      <c r="AD17" s="15" t="s">
        <v>20</v>
      </c>
      <c r="AE17" s="17" t="e" cm="1">
        <f t="array" aca="1" ref="AE17" ca="1">_xll.BDH(E17,$F$3,$AE$8,$AE$8)/100</f>
        <v>#NAME?</v>
      </c>
      <c r="AG17" s="15" t="s">
        <v>20</v>
      </c>
      <c r="AH17" s="17" t="e" cm="1">
        <f t="array" aca="1" ref="AH17" ca="1">_xll.BDH(E17,$F$3,$AH$8,$AH$8)/100</f>
        <v>#NAME?</v>
      </c>
      <c r="AJ17" s="15" t="s">
        <v>20</v>
      </c>
      <c r="AK17" s="17" t="e" cm="1">
        <f t="array" aca="1" ref="AK17" ca="1">_xll.BDH(E17,$F$3,$AK$8,$AK$8)/100</f>
        <v>#NAME?</v>
      </c>
    </row>
    <row r="18" spans="2:37" x14ac:dyDescent="0.25">
      <c r="D18" s="1">
        <v>12</v>
      </c>
      <c r="E18" s="15" t="str">
        <f t="shared" si="0"/>
        <v>EUSA12 Curncy</v>
      </c>
      <c r="F18" s="15" t="s">
        <v>21</v>
      </c>
      <c r="G18" s="62">
        <v>-1.9750000000000002E-3</v>
      </c>
      <c r="H18" s="10"/>
      <c r="I18" s="15" t="s">
        <v>21</v>
      </c>
      <c r="J18" s="62">
        <v>-1.9750000000000002E-3</v>
      </c>
      <c r="K18" s="12"/>
      <c r="L18" s="24" t="s">
        <v>159</v>
      </c>
      <c r="M18" s="23"/>
      <c r="X18" s="15" t="s">
        <v>21</v>
      </c>
      <c r="Y18" s="17" t="e" cm="1">
        <f t="array" aca="1" ref="Y18" ca="1">_xll.BDH(E18,$F$3,$Y$8,$Y$8)/100</f>
        <v>#NAME?</v>
      </c>
      <c r="AA18" s="15" t="s">
        <v>21</v>
      </c>
      <c r="AB18" s="17" t="e" cm="1">
        <f t="array" aca="1" ref="AB18" ca="1">_xll.BDH(E18,$F$3,$AB$8,$AB$8)/100</f>
        <v>#NAME?</v>
      </c>
      <c r="AD18" s="15" t="s">
        <v>21</v>
      </c>
      <c r="AE18" s="17" t="e" cm="1">
        <f t="array" aca="1" ref="AE18" ca="1">_xll.BDH(E18,$F$3,$AE$8,$AE$8)/100</f>
        <v>#NAME?</v>
      </c>
      <c r="AG18" s="15" t="s">
        <v>21</v>
      </c>
      <c r="AH18" s="17" t="e" cm="1">
        <f t="array" aca="1" ref="AH18" ca="1">_xll.BDH(E18,$F$3,$AH$8,$AH$8)/100</f>
        <v>#NAME?</v>
      </c>
      <c r="AJ18" s="15" t="s">
        <v>21</v>
      </c>
      <c r="AK18" s="17" t="e" cm="1">
        <f t="array" aca="1" ref="AK18" ca="1">_xll.BDH(E18,$F$3,$AK$8,$AK$8)/100</f>
        <v>#NAME?</v>
      </c>
    </row>
    <row r="19" spans="2:37" x14ac:dyDescent="0.25">
      <c r="B19" s="10" t="s">
        <v>2</v>
      </c>
      <c r="C19" s="22" t="e" cm="1">
        <f t="array" aca="1" ref="C19" ca="1">_xll.daAddTenor(C10,"-1b")</f>
        <v>#NAME?</v>
      </c>
      <c r="D19" s="1">
        <v>15</v>
      </c>
      <c r="E19" s="15" t="str">
        <f t="shared" si="0"/>
        <v>EUSA15 Curncy</v>
      </c>
      <c r="F19" s="15" t="s">
        <v>22</v>
      </c>
      <c r="G19" s="62">
        <v>-1.008E-3</v>
      </c>
      <c r="H19" s="10"/>
      <c r="I19" s="15" t="s">
        <v>22</v>
      </c>
      <c r="J19" s="62">
        <v>-1.008E-3</v>
      </c>
      <c r="K19" s="12"/>
      <c r="L19" s="24"/>
      <c r="M19" s="23"/>
      <c r="X19" s="15" t="s">
        <v>22</v>
      </c>
      <c r="Y19" s="17" t="e" cm="1">
        <f t="array" aca="1" ref="Y19" ca="1">_xll.BDH(E19,$F$3,$Y$8,$Y$8)/100</f>
        <v>#NAME?</v>
      </c>
      <c r="AA19" s="15" t="s">
        <v>22</v>
      </c>
      <c r="AB19" s="17" t="e" cm="1">
        <f t="array" aca="1" ref="AB19" ca="1">_xll.BDH(E19,$F$3,$AB$8,$AB$8)/100</f>
        <v>#NAME?</v>
      </c>
      <c r="AD19" s="15" t="s">
        <v>22</v>
      </c>
      <c r="AE19" s="17" t="e" cm="1">
        <f t="array" aca="1" ref="AE19" ca="1">_xll.BDH(E19,$F$3,$AE$8,$AE$8)/100</f>
        <v>#NAME?</v>
      </c>
      <c r="AG19" s="15" t="s">
        <v>22</v>
      </c>
      <c r="AH19" s="17" t="e" cm="1">
        <f t="array" aca="1" ref="AH19" ca="1">_xll.BDH(E19,$F$3,$AH$8,$AH$8)/100</f>
        <v>#NAME?</v>
      </c>
      <c r="AJ19" s="15" t="s">
        <v>22</v>
      </c>
      <c r="AK19" s="17" t="e" cm="1">
        <f t="array" aca="1" ref="AK19" ca="1">_xll.BDH(E19,$F$3,$AK$8,$AK$8)/100</f>
        <v>#NAME?</v>
      </c>
    </row>
    <row r="20" spans="2:37" x14ac:dyDescent="0.25">
      <c r="B20" s="10" t="s">
        <v>3</v>
      </c>
      <c r="C20" s="8" t="s">
        <v>51</v>
      </c>
      <c r="D20" s="1">
        <v>20</v>
      </c>
      <c r="E20" s="15" t="str">
        <f t="shared" si="0"/>
        <v>EUSA20 Curncy</v>
      </c>
      <c r="F20" s="15" t="s">
        <v>23</v>
      </c>
      <c r="G20" s="62">
        <v>-3.1800000000000003E-4</v>
      </c>
      <c r="H20" s="10"/>
      <c r="I20" s="15" t="s">
        <v>23</v>
      </c>
      <c r="J20" s="62">
        <v>-3.1800000000000003E-4</v>
      </c>
      <c r="K20" s="12"/>
      <c r="L20" s="24"/>
      <c r="M20" s="23"/>
      <c r="X20" s="15" t="s">
        <v>23</v>
      </c>
      <c r="Y20" s="17" t="e" cm="1">
        <f t="array" aca="1" ref="Y20" ca="1">_xll.BDH(E20,$F$3,$Y$8,$Y$8)/100</f>
        <v>#NAME?</v>
      </c>
      <c r="AA20" s="15" t="s">
        <v>23</v>
      </c>
      <c r="AB20" s="17" t="e" cm="1">
        <f t="array" aca="1" ref="AB20" ca="1">_xll.BDH(E20,$F$3,$AB$8,$AB$8)/100</f>
        <v>#NAME?</v>
      </c>
      <c r="AD20" s="15" t="s">
        <v>23</v>
      </c>
      <c r="AE20" s="17" t="e" cm="1">
        <f t="array" aca="1" ref="AE20" ca="1">_xll.BDH(E20,$F$3,$AE$8,$AE$8)/100</f>
        <v>#NAME?</v>
      </c>
      <c r="AG20" s="15" t="s">
        <v>23</v>
      </c>
      <c r="AH20" s="17" t="e" cm="1">
        <f t="array" aca="1" ref="AH20" ca="1">_xll.BDH(E20,$F$3,$AH$8,$AH$8)/100</f>
        <v>#NAME?</v>
      </c>
      <c r="AJ20" s="15" t="s">
        <v>23</v>
      </c>
      <c r="AK20" s="17" t="e" cm="1">
        <f t="array" aca="1" ref="AK20" ca="1">_xll.BDH(E20,$F$3,$AK$8,$AK$8)/100</f>
        <v>#NAME?</v>
      </c>
    </row>
    <row r="21" spans="2:37" x14ac:dyDescent="0.25">
      <c r="B21" s="10" t="s">
        <v>5</v>
      </c>
      <c r="C21" s="9" t="e" cm="1">
        <f t="array" aca="1" ref="C21" ca="1">_xll.daCreateModel(C19,C20)</f>
        <v>#NAME?</v>
      </c>
      <c r="D21" s="1">
        <v>30</v>
      </c>
      <c r="E21" s="15" t="str">
        <f t="shared" si="0"/>
        <v>EUSA30 Curncy</v>
      </c>
      <c r="F21" s="15" t="s">
        <v>24</v>
      </c>
      <c r="G21" s="62">
        <v>-7.0899999999999999E-4</v>
      </c>
      <c r="H21" s="10"/>
      <c r="I21" s="15" t="s">
        <v>24</v>
      </c>
      <c r="J21" s="62">
        <v>-7.0899999999999999E-4</v>
      </c>
      <c r="K21" s="12"/>
      <c r="L21" s="24"/>
      <c r="M21" s="23"/>
      <c r="X21" s="15" t="s">
        <v>24</v>
      </c>
      <c r="Y21" s="17" t="e" cm="1">
        <f t="array" aca="1" ref="Y21" ca="1">_xll.BDH(E21,$F$3,$Y$8,$Y$8)/100</f>
        <v>#NAME?</v>
      </c>
      <c r="AA21" s="15" t="s">
        <v>24</v>
      </c>
      <c r="AB21" s="17" t="e" cm="1">
        <f t="array" aca="1" ref="AB21" ca="1">_xll.BDH(E21,$F$3,$AB$8,$AB$8)/100</f>
        <v>#NAME?</v>
      </c>
      <c r="AD21" s="15" t="s">
        <v>24</v>
      </c>
      <c r="AE21" s="17" t="e" cm="1">
        <f t="array" aca="1" ref="AE21" ca="1">_xll.BDH(E21,$F$3,$AE$8,$AE$8)/100</f>
        <v>#NAME?</v>
      </c>
      <c r="AG21" s="15" t="s">
        <v>24</v>
      </c>
      <c r="AH21" s="17" t="e" cm="1">
        <f t="array" aca="1" ref="AH21" ca="1">_xll.BDH(E21,$F$3,$AH$8,$AH$8)/100</f>
        <v>#NAME?</v>
      </c>
      <c r="AJ21" s="15" t="s">
        <v>24</v>
      </c>
      <c r="AK21" s="17" t="e" cm="1">
        <f t="array" aca="1" ref="AK21" ca="1">_xll.BDH(E21,$F$3,$AK$8,$AK$8)/100</f>
        <v>#NAME?</v>
      </c>
    </row>
    <row r="22" spans="2:37" x14ac:dyDescent="0.25">
      <c r="B22" s="10" t="s">
        <v>6</v>
      </c>
      <c r="C22" s="21" t="e" cm="1">
        <f t="array" aca="1" ref="C22" ca="1">_xll.daInputQuotes(C20,I11:I44,J11:J44)</f>
        <v>#NAME?</v>
      </c>
      <c r="D22" s="10">
        <v>1</v>
      </c>
      <c r="E22" s="15" t="str">
        <f>"EUSWE"&amp;D22&amp;" Curncy"</f>
        <v>EUSWE1 Curncy</v>
      </c>
      <c r="F22" s="15" t="s">
        <v>25</v>
      </c>
      <c r="G22" s="62">
        <v>-5.28E-3</v>
      </c>
      <c r="H22" s="10"/>
      <c r="I22" s="15" t="s">
        <v>25</v>
      </c>
      <c r="J22" s="62">
        <v>-5.28E-3</v>
      </c>
      <c r="K22" s="12"/>
      <c r="L22" s="24"/>
      <c r="M22" s="23"/>
      <c r="X22" s="15" t="s">
        <v>25</v>
      </c>
      <c r="Y22" s="17" t="e" cm="1">
        <f t="array" aca="1" ref="Y22" ca="1">_xll.BDH(E22,$F$3,$Y$8,$Y$8)/100</f>
        <v>#NAME?</v>
      </c>
      <c r="AA22" s="15" t="s">
        <v>25</v>
      </c>
      <c r="AB22" s="17" t="e" cm="1">
        <f t="array" aca="1" ref="AB22" ca="1">_xll.BDH(E22,$F$3,$AB$8,$AB$8)/100</f>
        <v>#NAME?</v>
      </c>
      <c r="AD22" s="15" t="s">
        <v>25</v>
      </c>
      <c r="AE22" s="17" t="e" cm="1">
        <f t="array" aca="1" ref="AE22" ca="1">_xll.BDH(E22,$F$3,$AE$8,$AE$8)/100</f>
        <v>#NAME?</v>
      </c>
      <c r="AG22" s="15" t="s">
        <v>25</v>
      </c>
      <c r="AH22" s="17" t="e" cm="1">
        <f t="array" aca="1" ref="AH22" ca="1">_xll.BDH(E22,$F$3,$AH$8,$AH$8)/100</f>
        <v>#NAME?</v>
      </c>
      <c r="AJ22" s="15" t="s">
        <v>25</v>
      </c>
      <c r="AK22" s="17" t="e" cm="1">
        <f t="array" aca="1" ref="AK22" ca="1">_xll.BDH(E22,$F$3,$AK$8,$AK$8)/100</f>
        <v>#NAME?</v>
      </c>
    </row>
    <row r="23" spans="2:37" x14ac:dyDescent="0.25">
      <c r="B23" s="10" t="s">
        <v>7</v>
      </c>
      <c r="C23" s="21" t="e" cm="1">
        <f t="array" aca="1" ref="C23" ca="1">_xll.daLastCalibrated(C20)</f>
        <v>#NAME?</v>
      </c>
      <c r="D23" s="10">
        <v>2</v>
      </c>
      <c r="E23" s="15" t="str">
        <f t="shared" ref="E23:E33" si="1">"EUSWE"&amp;D23&amp;" Curncy"</f>
        <v>EUSWE2 Curncy</v>
      </c>
      <c r="F23" s="15" t="s">
        <v>26</v>
      </c>
      <c r="G23" s="62">
        <v>-5.6579999999999998E-3</v>
      </c>
      <c r="H23" s="10"/>
      <c r="I23" s="15" t="s">
        <v>26</v>
      </c>
      <c r="J23" s="62">
        <v>-5.6579999999999998E-3</v>
      </c>
      <c r="K23" s="12"/>
      <c r="L23" s="24"/>
      <c r="M23" s="23"/>
      <c r="X23" s="15" t="s">
        <v>26</v>
      </c>
      <c r="Y23" s="17" t="e" cm="1">
        <f t="array" aca="1" ref="Y23" ca="1">_xll.BDH(E23,$F$3,$Y$8,$Y$8)/100</f>
        <v>#NAME?</v>
      </c>
      <c r="AA23" s="15" t="s">
        <v>26</v>
      </c>
      <c r="AB23" s="17" t="e" cm="1">
        <f t="array" aca="1" ref="AB23" ca="1">_xll.BDH(E23,$F$3,$AB$8,$AB$8)/100</f>
        <v>#NAME?</v>
      </c>
      <c r="AD23" s="15" t="s">
        <v>26</v>
      </c>
      <c r="AE23" s="17" t="e" cm="1">
        <f t="array" aca="1" ref="AE23" ca="1">_xll.BDH(E23,$F$3,$AE$8,$AE$8)/100</f>
        <v>#NAME?</v>
      </c>
      <c r="AG23" s="15" t="s">
        <v>26</v>
      </c>
      <c r="AH23" s="17" t="e" cm="1">
        <f t="array" aca="1" ref="AH23" ca="1">_xll.BDH(E23,$F$3,$AH$8,$AH$8)/100</f>
        <v>#NAME?</v>
      </c>
      <c r="AJ23" s="15" t="s">
        <v>26</v>
      </c>
      <c r="AK23" s="17" t="e" cm="1">
        <f t="array" aca="1" ref="AK23" ca="1">_xll.BDH(E23,$F$3,$AK$8,$AK$8)/100</f>
        <v>#NAME?</v>
      </c>
    </row>
    <row r="24" spans="2:37" x14ac:dyDescent="0.25">
      <c r="D24" s="10">
        <v>3</v>
      </c>
      <c r="E24" s="15" t="str">
        <f t="shared" si="1"/>
        <v>EUSWE3 Curncy</v>
      </c>
      <c r="F24" s="15" t="s">
        <v>27</v>
      </c>
      <c r="G24" s="62">
        <v>-5.7479999999999996E-3</v>
      </c>
      <c r="H24" s="10"/>
      <c r="I24" s="15" t="s">
        <v>27</v>
      </c>
      <c r="J24" s="62">
        <v>-5.7479999999999996E-3</v>
      </c>
      <c r="K24" s="12"/>
      <c r="L24" s="24"/>
      <c r="M24" s="23"/>
      <c r="X24" s="15" t="s">
        <v>27</v>
      </c>
      <c r="Y24" s="17" t="e" cm="1">
        <f t="array" aca="1" ref="Y24" ca="1">_xll.BDH(E24,$F$3,$Y$8,$Y$8)/100</f>
        <v>#NAME?</v>
      </c>
      <c r="AA24" s="15" t="s">
        <v>27</v>
      </c>
      <c r="AB24" s="17" t="e" cm="1">
        <f t="array" aca="1" ref="AB24" ca="1">_xll.BDH(E24,$F$3,$AB$8,$AB$8)/100</f>
        <v>#NAME?</v>
      </c>
      <c r="AD24" s="15" t="s">
        <v>27</v>
      </c>
      <c r="AE24" s="17" t="e" cm="1">
        <f t="array" aca="1" ref="AE24" ca="1">_xll.BDH(E24,$F$3,$AE$8,$AE$8)/100</f>
        <v>#NAME?</v>
      </c>
      <c r="AG24" s="15" t="s">
        <v>27</v>
      </c>
      <c r="AH24" s="17" t="e" cm="1">
        <f t="array" aca="1" ref="AH24" ca="1">_xll.BDH(E24,$F$3,$AH$8,$AH$8)/100</f>
        <v>#NAME?</v>
      </c>
      <c r="AJ24" s="15" t="s">
        <v>27</v>
      </c>
      <c r="AK24" s="17" t="e" cm="1">
        <f t="array" aca="1" ref="AK24" ca="1">_xll.BDH(E24,$F$3,$AK$8,$AK$8)/100</f>
        <v>#NAME?</v>
      </c>
    </row>
    <row r="25" spans="2:37" x14ac:dyDescent="0.25">
      <c r="B25" s="11" t="s">
        <v>98</v>
      </c>
      <c r="D25" s="10">
        <v>4</v>
      </c>
      <c r="E25" s="15" t="str">
        <f t="shared" si="1"/>
        <v>EUSWE4 Curncy</v>
      </c>
      <c r="F25" s="15" t="s">
        <v>28</v>
      </c>
      <c r="G25" s="62">
        <v>-5.6350000000000003E-3</v>
      </c>
      <c r="H25" s="10"/>
      <c r="I25" s="15" t="s">
        <v>28</v>
      </c>
      <c r="J25" s="62">
        <v>-5.6350000000000003E-3</v>
      </c>
      <c r="K25" s="12"/>
      <c r="L25" s="24"/>
      <c r="M25" s="23"/>
      <c r="X25" s="15" t="s">
        <v>28</v>
      </c>
      <c r="Y25" s="17" t="e" cm="1">
        <f t="array" aca="1" ref="Y25" ca="1">_xll.BDH(E25,$F$3,$Y$8,$Y$8)/100</f>
        <v>#NAME?</v>
      </c>
      <c r="AA25" s="15" t="s">
        <v>28</v>
      </c>
      <c r="AB25" s="17" t="e" cm="1">
        <f t="array" aca="1" ref="AB25" ca="1">_xll.BDH(E25,$F$3,$AB$8,$AB$8)/100</f>
        <v>#NAME?</v>
      </c>
      <c r="AD25" s="15" t="s">
        <v>28</v>
      </c>
      <c r="AE25" s="17" t="e" cm="1">
        <f t="array" aca="1" ref="AE25" ca="1">_xll.BDH(E25,$F$3,$AE$8,$AE$8)/100</f>
        <v>#NAME?</v>
      </c>
      <c r="AG25" s="15" t="s">
        <v>28</v>
      </c>
      <c r="AH25" s="17" t="e" cm="1">
        <f t="array" aca="1" ref="AH25" ca="1">_xll.BDH(E25,$F$3,$AH$8,$AH$8)/100</f>
        <v>#NAME?</v>
      </c>
      <c r="AJ25" s="15" t="s">
        <v>28</v>
      </c>
      <c r="AK25" s="17" t="e" cm="1">
        <f t="array" aca="1" ref="AK25" ca="1">_xll.BDH(E25,$F$3,$AK$8,$AK$8)/100</f>
        <v>#NAME?</v>
      </c>
    </row>
    <row r="26" spans="2:37" x14ac:dyDescent="0.25">
      <c r="D26" s="10">
        <v>5</v>
      </c>
      <c r="E26" s="15" t="str">
        <f t="shared" si="1"/>
        <v>EUSWE5 Curncy</v>
      </c>
      <c r="F26" s="15" t="s">
        <v>29</v>
      </c>
      <c r="G26" s="62">
        <v>-5.4149999999999997E-3</v>
      </c>
      <c r="H26" s="10"/>
      <c r="I26" s="15" t="s">
        <v>29</v>
      </c>
      <c r="J26" s="62">
        <v>-5.4149999999999997E-3</v>
      </c>
      <c r="K26" s="12"/>
      <c r="L26" s="24"/>
      <c r="M26" s="23"/>
      <c r="X26" s="15" t="s">
        <v>29</v>
      </c>
      <c r="Y26" s="17" t="e" cm="1">
        <f t="array" aca="1" ref="Y26" ca="1">_xll.BDH(E26,$F$3,$Y$8,$Y$8)/100</f>
        <v>#NAME?</v>
      </c>
      <c r="AA26" s="15" t="s">
        <v>29</v>
      </c>
      <c r="AB26" s="17" t="e" cm="1">
        <f t="array" aca="1" ref="AB26" ca="1">_xll.BDH(E26,$F$3,$AB$8,$AB$8)/100</f>
        <v>#NAME?</v>
      </c>
      <c r="AD26" s="15" t="s">
        <v>29</v>
      </c>
      <c r="AE26" s="17" t="e" cm="1">
        <f t="array" aca="1" ref="AE26" ca="1">_xll.BDH(E26,$F$3,$AE$8,$AE$8)/100</f>
        <v>#NAME?</v>
      </c>
      <c r="AG26" s="15" t="s">
        <v>29</v>
      </c>
      <c r="AH26" s="17" t="e" cm="1">
        <f t="array" aca="1" ref="AH26" ca="1">_xll.BDH(E26,$F$3,$AH$8,$AH$8)/100</f>
        <v>#NAME?</v>
      </c>
      <c r="AJ26" s="15" t="s">
        <v>29</v>
      </c>
      <c r="AK26" s="17" t="e" cm="1">
        <f t="array" aca="1" ref="AK26" ca="1">_xll.BDH(E26,$F$3,$AK$8,$AK$8)/100</f>
        <v>#NAME?</v>
      </c>
    </row>
    <row r="27" spans="2:37" x14ac:dyDescent="0.25">
      <c r="B27" s="1" t="s">
        <v>99</v>
      </c>
      <c r="C27" s="60" t="e" cm="1">
        <f t="array" aca="1" ref="C27" ca="1">_xll.daAddTenor($C$10,"-"&amp;B27,,"target2")</f>
        <v>#NAME?</v>
      </c>
      <c r="D27" s="10">
        <v>7</v>
      </c>
      <c r="E27" s="15" t="str">
        <f t="shared" si="1"/>
        <v>EUSWE7 Curncy</v>
      </c>
      <c r="F27" s="15" t="s">
        <v>30</v>
      </c>
      <c r="G27" s="62">
        <v>-4.7660000000000003E-3</v>
      </c>
      <c r="H27" s="10"/>
      <c r="I27" s="15" t="s">
        <v>30</v>
      </c>
      <c r="J27" s="62">
        <v>-4.7660000000000003E-3</v>
      </c>
      <c r="K27" s="12"/>
      <c r="L27" s="24" t="s">
        <v>92</v>
      </c>
      <c r="M27" s="23"/>
      <c r="X27" s="15" t="s">
        <v>30</v>
      </c>
      <c r="Y27" s="17" t="e" cm="1">
        <f t="array" aca="1" ref="Y27" ca="1">_xll.BDH(E27,$F$3,$Y$8,$Y$8)/100</f>
        <v>#NAME?</v>
      </c>
      <c r="AA27" s="15" t="s">
        <v>30</v>
      </c>
      <c r="AB27" s="17" t="e" cm="1">
        <f t="array" aca="1" ref="AB27" ca="1">_xll.BDH(E27,$F$3,$AB$8,$AB$8)/100</f>
        <v>#NAME?</v>
      </c>
      <c r="AD27" s="15" t="s">
        <v>30</v>
      </c>
      <c r="AE27" s="17" t="e" cm="1">
        <f t="array" aca="1" ref="AE27" ca="1">_xll.BDH(E27,$F$3,$AE$8,$AE$8)/100</f>
        <v>#NAME?</v>
      </c>
      <c r="AG27" s="15" t="s">
        <v>30</v>
      </c>
      <c r="AH27" s="17" t="e" cm="1">
        <f t="array" aca="1" ref="AH27" ca="1">_xll.BDH(E27,$F$3,$AH$8,$AH$8)/100</f>
        <v>#NAME?</v>
      </c>
      <c r="AJ27" s="15" t="s">
        <v>30</v>
      </c>
      <c r="AK27" s="17" t="e" cm="1">
        <f t="array" aca="1" ref="AK27" ca="1">_xll.BDH(E27,$F$3,$AK$8,$AK$8)/100</f>
        <v>#NAME?</v>
      </c>
    </row>
    <row r="28" spans="2:37" x14ac:dyDescent="0.25">
      <c r="B28" s="1" t="s">
        <v>100</v>
      </c>
      <c r="C28" s="60" t="e" cm="1">
        <f t="array" aca="1" ref="C28" ca="1">_xll.daAddTenor($C$10,"-"&amp;B28,,"target2")</f>
        <v>#NAME?</v>
      </c>
      <c r="D28" s="10">
        <v>10</v>
      </c>
      <c r="E28" s="15" t="str">
        <f t="shared" si="1"/>
        <v>EUSWE10 Curncy</v>
      </c>
      <c r="F28" s="15" t="s">
        <v>31</v>
      </c>
      <c r="G28" s="62">
        <v>-3.5099999999999997E-3</v>
      </c>
      <c r="H28" s="10"/>
      <c r="I28" s="15" t="s">
        <v>31</v>
      </c>
      <c r="J28" s="62">
        <v>-3.5099999999999997E-3</v>
      </c>
      <c r="K28" s="12"/>
      <c r="L28" s="24"/>
      <c r="M28" s="23"/>
      <c r="X28" s="15" t="s">
        <v>31</v>
      </c>
      <c r="Y28" s="17" t="e" cm="1">
        <f t="array" aca="1" ref="Y28" ca="1">_xll.BDH(E28,$F$3,$Y$8,$Y$8)/100</f>
        <v>#NAME?</v>
      </c>
      <c r="AA28" s="15" t="s">
        <v>31</v>
      </c>
      <c r="AB28" s="17" t="e" cm="1">
        <f t="array" aca="1" ref="AB28" ca="1">_xll.BDH(E28,$F$3,$AB$8,$AB$8)/100</f>
        <v>#NAME?</v>
      </c>
      <c r="AD28" s="15" t="s">
        <v>31</v>
      </c>
      <c r="AE28" s="17" t="e" cm="1">
        <f t="array" aca="1" ref="AE28" ca="1">_xll.BDH(E28,$F$3,$AE$8,$AE$8)/100</f>
        <v>#NAME?</v>
      </c>
      <c r="AG28" s="15" t="s">
        <v>31</v>
      </c>
      <c r="AH28" s="17" t="e" cm="1">
        <f t="array" aca="1" ref="AH28" ca="1">_xll.BDH(E28,$F$3,$AH$8,$AH$8)/100</f>
        <v>#NAME?</v>
      </c>
      <c r="AJ28" s="15" t="s">
        <v>31</v>
      </c>
      <c r="AK28" s="17" t="e" cm="1">
        <f t="array" aca="1" ref="AK28" ca="1">_xll.BDH(E28,$F$3,$AK$8,$AK$8)/100</f>
        <v>#NAME?</v>
      </c>
    </row>
    <row r="29" spans="2:37" x14ac:dyDescent="0.25">
      <c r="B29" s="1" t="s">
        <v>101</v>
      </c>
      <c r="C29" s="60" t="e" cm="1">
        <f t="array" aca="1" ref="C29" ca="1">_xll.daAddTenor($C$10,"-"&amp;B29,,"target2")</f>
        <v>#NAME?</v>
      </c>
      <c r="D29" s="10">
        <v>12</v>
      </c>
      <c r="E29" s="15" t="str">
        <f t="shared" si="1"/>
        <v>EUSWE12 Curncy</v>
      </c>
      <c r="F29" s="15" t="s">
        <v>32</v>
      </c>
      <c r="G29" s="62">
        <v>-2.6850000000000003E-3</v>
      </c>
      <c r="H29" s="10"/>
      <c r="I29" s="15" t="s">
        <v>32</v>
      </c>
      <c r="J29" s="62">
        <v>-2.6850000000000003E-3</v>
      </c>
      <c r="K29" s="12"/>
      <c r="L29" s="24"/>
      <c r="M29" s="23"/>
      <c r="X29" s="15" t="s">
        <v>32</v>
      </c>
      <c r="Y29" s="17" t="e" cm="1">
        <f t="array" aca="1" ref="Y29" ca="1">_xll.BDH(E29,$F$3,$Y$8,$Y$8)/100</f>
        <v>#NAME?</v>
      </c>
      <c r="AA29" s="15" t="s">
        <v>32</v>
      </c>
      <c r="AB29" s="17" t="e" cm="1">
        <f t="array" aca="1" ref="AB29" ca="1">_xll.BDH(E29,$F$3,$AB$8,$AB$8)/100</f>
        <v>#NAME?</v>
      </c>
      <c r="AD29" s="15" t="s">
        <v>32</v>
      </c>
      <c r="AE29" s="17" t="e" cm="1">
        <f t="array" aca="1" ref="AE29" ca="1">_xll.BDH(E29,$F$3,$AE$8,$AE$8)/100</f>
        <v>#NAME?</v>
      </c>
      <c r="AG29" s="15" t="s">
        <v>32</v>
      </c>
      <c r="AH29" s="17" t="e" cm="1">
        <f t="array" aca="1" ref="AH29" ca="1">_xll.BDH(E29,$F$3,$AH$8,$AH$8)/100</f>
        <v>#NAME?</v>
      </c>
      <c r="AJ29" s="15" t="s">
        <v>32</v>
      </c>
      <c r="AK29" s="17" t="e" cm="1">
        <f t="array" aca="1" ref="AK29" ca="1">_xll.BDH(E29,$F$3,$AK$8,$AK$8)/100</f>
        <v>#NAME?</v>
      </c>
    </row>
    <row r="30" spans="2:37" x14ac:dyDescent="0.25">
      <c r="B30" s="1" t="s">
        <v>102</v>
      </c>
      <c r="C30" s="60" t="e" cm="1">
        <f t="array" aca="1" ref="C30" ca="1">_xll.daAddTenor($C$10,"-"&amp;B30,,"target2")</f>
        <v>#NAME?</v>
      </c>
      <c r="D30" s="10">
        <v>15</v>
      </c>
      <c r="E30" s="15" t="str">
        <f t="shared" si="1"/>
        <v>EUSWE15 Curncy</v>
      </c>
      <c r="F30" s="15" t="s">
        <v>33</v>
      </c>
      <c r="G30" s="62">
        <v>-1.6850000000000001E-3</v>
      </c>
      <c r="H30" s="10"/>
      <c r="I30" s="15" t="s">
        <v>33</v>
      </c>
      <c r="J30" s="62">
        <v>-1.6850000000000001E-3</v>
      </c>
      <c r="K30" s="12"/>
      <c r="L30" s="24"/>
      <c r="M30" s="23"/>
      <c r="X30" s="15" t="s">
        <v>33</v>
      </c>
      <c r="Y30" s="17" t="e" cm="1">
        <f t="array" aca="1" ref="Y30" ca="1">_xll.BDH(E30,$F$3,$Y$8,$Y$8)/100</f>
        <v>#NAME?</v>
      </c>
      <c r="AA30" s="15" t="s">
        <v>33</v>
      </c>
      <c r="AB30" s="17" t="e" cm="1">
        <f t="array" aca="1" ref="AB30" ca="1">_xll.BDH(E30,$F$3,$AB$8,$AB$8)/100</f>
        <v>#NAME?</v>
      </c>
      <c r="AD30" s="15" t="s">
        <v>33</v>
      </c>
      <c r="AE30" s="17" t="e" cm="1">
        <f t="array" aca="1" ref="AE30" ca="1">_xll.BDH(E30,$F$3,$AE$8,$AE$8)/100</f>
        <v>#NAME?</v>
      </c>
      <c r="AG30" s="15" t="s">
        <v>33</v>
      </c>
      <c r="AH30" s="17" t="e" cm="1">
        <f t="array" aca="1" ref="AH30" ca="1">_xll.BDH(E30,$F$3,$AH$8,$AH$8)/100</f>
        <v>#NAME?</v>
      </c>
      <c r="AJ30" s="15" t="s">
        <v>33</v>
      </c>
      <c r="AK30" s="17" t="e" cm="1">
        <f t="array" aca="1" ref="AK30" ca="1">_xll.BDH(E30,$F$3,$AK$8,$AK$8)/100</f>
        <v>#NAME?</v>
      </c>
    </row>
    <row r="31" spans="2:37" x14ac:dyDescent="0.25">
      <c r="B31" s="1" t="s">
        <v>103</v>
      </c>
      <c r="C31" s="60" t="e" cm="1">
        <f t="array" aca="1" ref="C31" ca="1">_xll.daAddTenor(DATE(YEAR(TODAY()),1,1),"0b",,"target2")</f>
        <v>#NAME?</v>
      </c>
      <c r="D31" s="10">
        <v>20</v>
      </c>
      <c r="E31" s="15" t="str">
        <f t="shared" si="1"/>
        <v>EUSWE20 Curncy</v>
      </c>
      <c r="F31" s="15" t="s">
        <v>34</v>
      </c>
      <c r="G31" s="62">
        <v>-9.3999999999999997E-4</v>
      </c>
      <c r="H31" s="10"/>
      <c r="I31" s="15" t="s">
        <v>34</v>
      </c>
      <c r="J31" s="62">
        <v>-9.3999999999999997E-4</v>
      </c>
      <c r="K31" s="12"/>
      <c r="L31" s="24" t="s">
        <v>93</v>
      </c>
      <c r="M31" s="23"/>
      <c r="X31" s="15" t="s">
        <v>34</v>
      </c>
      <c r="Y31" s="17" t="e" cm="1">
        <f t="array" aca="1" ref="Y31" ca="1">_xll.BDH(E31,$F$3,$Y$8,$Y$8)/100</f>
        <v>#NAME?</v>
      </c>
      <c r="AA31" s="15" t="s">
        <v>34</v>
      </c>
      <c r="AB31" s="17" t="e" cm="1">
        <f t="array" aca="1" ref="AB31" ca="1">_xll.BDH(E31,$F$3,$AB$8,$AB$8)/100</f>
        <v>#NAME?</v>
      </c>
      <c r="AD31" s="15" t="s">
        <v>34</v>
      </c>
      <c r="AE31" s="17" t="e" cm="1">
        <f t="array" aca="1" ref="AE31" ca="1">_xll.BDH(E31,$F$3,$AE$8,$AE$8)/100</f>
        <v>#NAME?</v>
      </c>
      <c r="AG31" s="15" t="s">
        <v>34</v>
      </c>
      <c r="AH31" s="17" t="e" cm="1">
        <f t="array" aca="1" ref="AH31" ca="1">_xll.BDH(E31,$F$3,$AH$8,$AH$8)/100</f>
        <v>#NAME?</v>
      </c>
      <c r="AJ31" s="15" t="s">
        <v>34</v>
      </c>
      <c r="AK31" s="17" t="e" cm="1">
        <f t="array" aca="1" ref="AK31" ca="1">_xll.BDH(E31,$F$3,$AK$8,$AK$8)/100</f>
        <v>#NAME?</v>
      </c>
    </row>
    <row r="32" spans="2:37" x14ac:dyDescent="0.25">
      <c r="B32" s="11" t="s">
        <v>67</v>
      </c>
      <c r="D32" s="10">
        <v>25</v>
      </c>
      <c r="E32" s="15" t="str">
        <f t="shared" si="1"/>
        <v>EUSWE25 Curncy</v>
      </c>
      <c r="F32" s="15" t="s">
        <v>35</v>
      </c>
      <c r="G32" s="62">
        <v>-9.4499999999999998E-4</v>
      </c>
      <c r="H32" s="10"/>
      <c r="I32" s="15" t="s">
        <v>35</v>
      </c>
      <c r="J32" s="62">
        <v>-9.4499999999999998E-4</v>
      </c>
      <c r="K32" s="12"/>
      <c r="L32" s="24"/>
      <c r="M32" s="23"/>
      <c r="X32" s="15" t="s">
        <v>35</v>
      </c>
      <c r="Y32" s="17" t="e" cm="1">
        <f t="array" aca="1" ref="Y32" ca="1">_xll.BDH(E32,$F$3,$Y$8,$Y$8)/100</f>
        <v>#NAME?</v>
      </c>
      <c r="AA32" s="15" t="s">
        <v>35</v>
      </c>
      <c r="AB32" s="17" t="e" cm="1">
        <f t="array" aca="1" ref="AB32" ca="1">_xll.BDH(E32,$F$3,$AB$8,$AB$8)/100</f>
        <v>#NAME?</v>
      </c>
      <c r="AD32" s="15" t="s">
        <v>35</v>
      </c>
      <c r="AE32" s="17" t="e" cm="1">
        <f t="array" aca="1" ref="AE32" ca="1">_xll.BDH(E32,$F$3,$AE$8,$AE$8)/100</f>
        <v>#NAME?</v>
      </c>
      <c r="AG32" s="15" t="s">
        <v>35</v>
      </c>
      <c r="AH32" s="17" t="e" cm="1">
        <f t="array" aca="1" ref="AH32" ca="1">_xll.BDH(E32,$F$3,$AH$8,$AH$8)/100</f>
        <v>#NAME?</v>
      </c>
      <c r="AJ32" s="15" t="s">
        <v>35</v>
      </c>
      <c r="AK32" s="17" t="e" cm="1">
        <f t="array" aca="1" ref="AK32" ca="1">_xll.BDH(E32,$F$3,$AK$8,$AK$8)/100</f>
        <v>#NAME?</v>
      </c>
    </row>
    <row r="33" spans="2:37" x14ac:dyDescent="0.25">
      <c r="B33" s="1" t="str">
        <f>"EUR."&amp;B27</f>
        <v>EUR.1W</v>
      </c>
      <c r="D33" s="1">
        <v>30</v>
      </c>
      <c r="E33" s="15" t="str">
        <f t="shared" si="1"/>
        <v>EUSWE30 Curncy</v>
      </c>
      <c r="F33" s="15" t="s">
        <v>36</v>
      </c>
      <c r="G33" s="62">
        <v>-1.23E-3</v>
      </c>
      <c r="H33" s="10"/>
      <c r="I33" s="15" t="s">
        <v>36</v>
      </c>
      <c r="J33" s="62">
        <v>-1.23E-3</v>
      </c>
      <c r="K33" s="12"/>
      <c r="L33" s="24"/>
      <c r="M33" s="23"/>
      <c r="X33" s="15" t="s">
        <v>36</v>
      </c>
      <c r="Y33" s="17" t="e" cm="1">
        <f t="array" aca="1" ref="Y33" ca="1">_xll.BDH(E33,$F$3,$Y$8,$Y$8)/100</f>
        <v>#NAME?</v>
      </c>
      <c r="AA33" s="15" t="s">
        <v>36</v>
      </c>
      <c r="AB33" s="17" t="e" cm="1">
        <f t="array" aca="1" ref="AB33" ca="1">_xll.BDH(E33,$F$3,$AB$8,$AB$8)/100</f>
        <v>#NAME?</v>
      </c>
      <c r="AD33" s="15" t="s">
        <v>36</v>
      </c>
      <c r="AE33" s="17" t="e" cm="1">
        <f t="array" aca="1" ref="AE33" ca="1">_xll.BDH(E33,$F$3,$AE$8,$AE$8)/100</f>
        <v>#NAME?</v>
      </c>
      <c r="AG33" s="15" t="s">
        <v>36</v>
      </c>
      <c r="AH33" s="17" t="e" cm="1">
        <f t="array" aca="1" ref="AH33" ca="1">_xll.BDH(E33,$F$3,$AH$8,$AH$8)/100</f>
        <v>#NAME?</v>
      </c>
      <c r="AJ33" s="15" t="s">
        <v>36</v>
      </c>
      <c r="AK33" s="17" t="e" cm="1">
        <f t="array" aca="1" ref="AK33" ca="1">_xll.BDH(E33,$F$3,$AK$8,$AK$8)/100</f>
        <v>#NAME?</v>
      </c>
    </row>
    <row r="34" spans="2:37" x14ac:dyDescent="0.25">
      <c r="B34" s="10" t="str">
        <f t="shared" ref="B34:B37" si="2">"EUR."&amp;B28</f>
        <v>EUR.1M</v>
      </c>
      <c r="C34" s="10"/>
      <c r="D34" s="10">
        <v>1</v>
      </c>
      <c r="E34" s="15" t="str">
        <f>"EUSW"&amp;D34&amp;"V3 Curncy"</f>
        <v>EUSW1V3 Curncy</v>
      </c>
      <c r="F34" s="15" t="s">
        <v>37</v>
      </c>
      <c r="G34" s="62">
        <v>-5.4100000000000007E-3</v>
      </c>
      <c r="H34" s="10"/>
      <c r="I34" s="15" t="s">
        <v>37</v>
      </c>
      <c r="J34" s="62">
        <v>-5.4100000000000007E-3</v>
      </c>
      <c r="K34" s="12"/>
      <c r="L34" s="24"/>
      <c r="M34" s="23"/>
      <c r="X34" s="15" t="s">
        <v>37</v>
      </c>
      <c r="Y34" s="17" t="e" cm="1">
        <f t="array" aca="1" ref="Y34" ca="1">_xll.BDH(E34,$F$3,$Y$8,$Y$8)/100</f>
        <v>#NAME?</v>
      </c>
      <c r="AA34" s="15" t="s">
        <v>37</v>
      </c>
      <c r="AB34" s="17" t="e" cm="1">
        <f t="array" aca="1" ref="AB34" ca="1">_xll.BDH(E34,$F$3,$AB$8,$AB$8)/100</f>
        <v>#NAME?</v>
      </c>
      <c r="AD34" s="15" t="s">
        <v>37</v>
      </c>
      <c r="AE34" s="17" t="e" cm="1">
        <f t="array" aca="1" ref="AE34" ca="1">_xll.BDH(E34,$F$3,$AE$8,$AE$8)/100</f>
        <v>#NAME?</v>
      </c>
      <c r="AG34" s="15" t="s">
        <v>37</v>
      </c>
      <c r="AH34" s="17" t="e" cm="1">
        <f t="array" aca="1" ref="AH34" ca="1">_xll.BDH(E34,$F$3,$AH$8,$AH$8)/100</f>
        <v>#NAME?</v>
      </c>
      <c r="AJ34" s="15" t="s">
        <v>37</v>
      </c>
      <c r="AK34" s="17" t="e" cm="1">
        <f t="array" aca="1" ref="AK34" ca="1">_xll.BDH(E34,$F$3,$AK$8,$AK$8)/100</f>
        <v>#NAME?</v>
      </c>
    </row>
    <row r="35" spans="2:37" x14ac:dyDescent="0.25">
      <c r="B35" s="10" t="str">
        <f t="shared" si="2"/>
        <v>EUR.3M</v>
      </c>
      <c r="C35" s="10"/>
      <c r="D35" s="10">
        <v>2</v>
      </c>
      <c r="E35" s="15" t="str">
        <f t="shared" ref="E35:E44" si="3">"EUSW"&amp;D35&amp;"V3 Curncy"</f>
        <v>EUSW2V3 Curncy</v>
      </c>
      <c r="F35" s="15" t="s">
        <v>38</v>
      </c>
      <c r="G35" s="62">
        <v>-5.6289999999999995E-3</v>
      </c>
      <c r="H35" s="10"/>
      <c r="I35" s="15" t="s">
        <v>38</v>
      </c>
      <c r="J35" s="62">
        <v>-5.6289999999999995E-3</v>
      </c>
      <c r="K35" s="12"/>
      <c r="L35" s="24"/>
      <c r="M35" s="23"/>
      <c r="X35" s="15" t="s">
        <v>38</v>
      </c>
      <c r="Y35" s="17" t="e" cm="1">
        <f t="array" aca="1" ref="Y35" ca="1">_xll.BDH(E35,$F$3,$Y$8,$Y$8)/100</f>
        <v>#NAME?</v>
      </c>
      <c r="AA35" s="15" t="s">
        <v>38</v>
      </c>
      <c r="AB35" s="17" t="e" cm="1">
        <f t="array" aca="1" ref="AB35" ca="1">_xll.BDH(E35,$F$3,$AB$8,$AB$8)/100</f>
        <v>#NAME?</v>
      </c>
      <c r="AD35" s="15" t="s">
        <v>38</v>
      </c>
      <c r="AE35" s="17" t="e" cm="1">
        <f t="array" aca="1" ref="AE35" ca="1">_xll.BDH(E35,$F$3,$AE$8,$AE$8)/100</f>
        <v>#NAME?</v>
      </c>
      <c r="AG35" s="15" t="s">
        <v>38</v>
      </c>
      <c r="AH35" s="17" t="e" cm="1">
        <f t="array" aca="1" ref="AH35" ca="1">_xll.BDH(E35,$F$3,$AH$8,$AH$8)/100</f>
        <v>#NAME?</v>
      </c>
      <c r="AJ35" s="15" t="s">
        <v>38</v>
      </c>
      <c r="AK35" s="17" t="e" cm="1">
        <f t="array" aca="1" ref="AK35" ca="1">_xll.BDH(E35,$F$3,$AK$8,$AK$8)/100</f>
        <v>#NAME?</v>
      </c>
    </row>
    <row r="36" spans="2:37" x14ac:dyDescent="0.25">
      <c r="B36" s="10" t="str">
        <f t="shared" si="2"/>
        <v>EUR.6M</v>
      </c>
      <c r="C36" s="10"/>
      <c r="D36" s="10">
        <v>3</v>
      </c>
      <c r="E36" s="15" t="str">
        <f t="shared" si="3"/>
        <v>EUSW3V3 Curncy</v>
      </c>
      <c r="F36" s="15" t="s">
        <v>39</v>
      </c>
      <c r="G36" s="62">
        <v>-5.6100000000000004E-3</v>
      </c>
      <c r="H36" s="10"/>
      <c r="I36" s="15" t="s">
        <v>39</v>
      </c>
      <c r="J36" s="62">
        <v>-5.6100000000000004E-3</v>
      </c>
      <c r="K36" s="12"/>
      <c r="L36" s="24" t="s">
        <v>94</v>
      </c>
      <c r="M36" s="23"/>
      <c r="X36" s="15" t="s">
        <v>39</v>
      </c>
      <c r="Y36" s="17" t="e" cm="1">
        <f t="array" aca="1" ref="Y36" ca="1">_xll.BDH(E36,$F$3,$Y$8,$Y$8)/100</f>
        <v>#NAME?</v>
      </c>
      <c r="AA36" s="15" t="s">
        <v>39</v>
      </c>
      <c r="AB36" s="17" t="e" cm="1">
        <f t="array" aca="1" ref="AB36" ca="1">_xll.BDH(E36,$F$3,$AB$8,$AB$8)/100</f>
        <v>#NAME?</v>
      </c>
      <c r="AD36" s="15" t="s">
        <v>39</v>
      </c>
      <c r="AE36" s="17" t="e" cm="1">
        <f t="array" aca="1" ref="AE36" ca="1">_xll.BDH(E36,$F$3,$AE$8,$AE$8)/100</f>
        <v>#NAME?</v>
      </c>
      <c r="AG36" s="15" t="s">
        <v>39</v>
      </c>
      <c r="AH36" s="17" t="e" cm="1">
        <f t="array" aca="1" ref="AH36" ca="1">_xll.BDH(E36,$F$3,$AH$8,$AH$8)/100</f>
        <v>#NAME?</v>
      </c>
      <c r="AJ36" s="15" t="s">
        <v>39</v>
      </c>
      <c r="AK36" s="17" t="e" cm="1">
        <f t="array" aca="1" ref="AK36" ca="1">_xll.BDH(E36,$F$3,$AK$8,$AK$8)/100</f>
        <v>#NAME?</v>
      </c>
    </row>
    <row r="37" spans="2:37" x14ac:dyDescent="0.25">
      <c r="B37" s="10" t="str">
        <f t="shared" si="2"/>
        <v>EUR.YTD</v>
      </c>
      <c r="C37" s="10"/>
      <c r="D37" s="10">
        <v>4</v>
      </c>
      <c r="E37" s="15" t="str">
        <f t="shared" si="3"/>
        <v>EUSW4V3 Curncy</v>
      </c>
      <c r="F37" s="15" t="s">
        <v>40</v>
      </c>
      <c r="G37" s="62">
        <v>-5.424E-3</v>
      </c>
      <c r="H37" s="10"/>
      <c r="I37" s="15" t="s">
        <v>40</v>
      </c>
      <c r="J37" s="62">
        <v>-5.424E-3</v>
      </c>
      <c r="K37" s="12"/>
      <c r="L37" s="24" t="s">
        <v>95</v>
      </c>
      <c r="M37" s="23"/>
      <c r="X37" s="15" t="s">
        <v>40</v>
      </c>
      <c r="Y37" s="17" t="e" cm="1">
        <f t="array" aca="1" ref="Y37" ca="1">_xll.BDH(E37,$F$3,$Y$8,$Y$8)/100</f>
        <v>#NAME?</v>
      </c>
      <c r="AA37" s="15" t="s">
        <v>40</v>
      </c>
      <c r="AB37" s="17" t="e" cm="1">
        <f t="array" aca="1" ref="AB37" ca="1">_xll.BDH(E37,$F$3,$AB$8,$AB$8)/100</f>
        <v>#NAME?</v>
      </c>
      <c r="AD37" s="15" t="s">
        <v>40</v>
      </c>
      <c r="AE37" s="17" t="e" cm="1">
        <f t="array" aca="1" ref="AE37" ca="1">_xll.BDH(E37,$F$3,$AE$8,$AE$8)/100</f>
        <v>#NAME?</v>
      </c>
      <c r="AG37" s="15" t="s">
        <v>40</v>
      </c>
      <c r="AH37" s="17" t="e" cm="1">
        <f t="array" aca="1" ref="AH37" ca="1">_xll.BDH(E37,$F$3,$AH$8,$AH$8)/100</f>
        <v>#NAME?</v>
      </c>
      <c r="AJ37" s="15" t="s">
        <v>40</v>
      </c>
      <c r="AK37" s="17" t="e" cm="1">
        <f t="array" aca="1" ref="AK37" ca="1">_xll.BDH(E37,$F$3,$AK$8,$AK$8)/100</f>
        <v>#NAME?</v>
      </c>
    </row>
    <row r="38" spans="2:37" x14ac:dyDescent="0.25">
      <c r="B38" s="11" t="s">
        <v>110</v>
      </c>
      <c r="D38" s="10">
        <v>5</v>
      </c>
      <c r="E38" s="15" t="str">
        <f t="shared" si="3"/>
        <v>EUSW5V3 Curncy</v>
      </c>
      <c r="F38" s="15" t="s">
        <v>41</v>
      </c>
      <c r="G38" s="62">
        <v>-5.1190000000000003E-3</v>
      </c>
      <c r="H38" s="10"/>
      <c r="I38" s="15" t="s">
        <v>41</v>
      </c>
      <c r="J38" s="62">
        <v>-5.1190000000000003E-3</v>
      </c>
      <c r="K38" s="12"/>
      <c r="L38" s="24" t="s">
        <v>96</v>
      </c>
      <c r="M38" s="23"/>
      <c r="X38" s="15" t="s">
        <v>41</v>
      </c>
      <c r="Y38" s="17" t="e" cm="1">
        <f t="array" aca="1" ref="Y38" ca="1">_xll.BDH(E38,$F$3,$Y$8,$Y$8)/100</f>
        <v>#NAME?</v>
      </c>
      <c r="AA38" s="15" t="s">
        <v>41</v>
      </c>
      <c r="AB38" s="17" t="e" cm="1">
        <f t="array" aca="1" ref="AB38" ca="1">_xll.BDH(E38,$F$3,$AB$8,$AB$8)/100</f>
        <v>#NAME?</v>
      </c>
      <c r="AD38" s="15" t="s">
        <v>41</v>
      </c>
      <c r="AE38" s="17" t="e" cm="1">
        <f t="array" aca="1" ref="AE38" ca="1">_xll.BDH(E38,$F$3,$AE$8,$AE$8)/100</f>
        <v>#NAME?</v>
      </c>
      <c r="AG38" s="15" t="s">
        <v>41</v>
      </c>
      <c r="AH38" s="17" t="e" cm="1">
        <f t="array" aca="1" ref="AH38" ca="1">_xll.BDH(E38,$F$3,$AH$8,$AH$8)/100</f>
        <v>#NAME?</v>
      </c>
      <c r="AJ38" s="15" t="s">
        <v>41</v>
      </c>
      <c r="AK38" s="17" t="e" cm="1">
        <f t="array" aca="1" ref="AK38" ca="1">_xll.BDH(E38,$F$3,$AK$8,$AK$8)/100</f>
        <v>#NAME?</v>
      </c>
    </row>
    <row r="39" spans="2:37" x14ac:dyDescent="0.25">
      <c r="B39" s="1" t="str">
        <f>B33</f>
        <v>EUR.1W</v>
      </c>
      <c r="C39" s="64" t="e" cm="1">
        <f t="array" aca="1" ref="C39" ca="1">_xll.daInputQuotes(B39,X11:X44,Y11:Y44)</f>
        <v>#NAME?</v>
      </c>
      <c r="D39" s="10">
        <v>7</v>
      </c>
      <c r="E39" s="15" t="str">
        <f t="shared" si="3"/>
        <v>EUSW7V3 Curncy</v>
      </c>
      <c r="F39" s="15" t="s">
        <v>42</v>
      </c>
      <c r="G39" s="62">
        <v>-4.3809999999999995E-3</v>
      </c>
      <c r="H39" s="10"/>
      <c r="I39" s="15" t="s">
        <v>42</v>
      </c>
      <c r="J39" s="62">
        <v>-4.3809999999999995E-3</v>
      </c>
      <c r="K39" s="12"/>
      <c r="L39" s="24"/>
      <c r="M39" s="23"/>
      <c r="X39" s="15" t="s">
        <v>42</v>
      </c>
      <c r="Y39" s="17" t="e" cm="1">
        <f t="array" aca="1" ref="Y39" ca="1">_xll.BDH(E39,$F$3,$Y$8,$Y$8)/100</f>
        <v>#NAME?</v>
      </c>
      <c r="AA39" s="15" t="s">
        <v>42</v>
      </c>
      <c r="AB39" s="17" t="e" cm="1">
        <f t="array" aca="1" ref="AB39" ca="1">_xll.BDH(E39,$F$3,$AB$8,$AB$8)/100</f>
        <v>#NAME?</v>
      </c>
      <c r="AD39" s="15" t="s">
        <v>42</v>
      </c>
      <c r="AE39" s="17" t="e" cm="1">
        <f t="array" aca="1" ref="AE39" ca="1">_xll.BDH(E39,$F$3,$AE$8,$AE$8)/100</f>
        <v>#NAME?</v>
      </c>
      <c r="AG39" s="15" t="s">
        <v>42</v>
      </c>
      <c r="AH39" s="17" t="e" cm="1">
        <f t="array" aca="1" ref="AH39" ca="1">_xll.BDH(E39,$F$3,$AH$8,$AH$8)/100</f>
        <v>#NAME?</v>
      </c>
      <c r="AJ39" s="15" t="s">
        <v>42</v>
      </c>
      <c r="AK39" s="17" t="e" cm="1">
        <f t="array" aca="1" ref="AK39" ca="1">_xll.BDH(E39,$F$3,$AK$8,$AK$8)/100</f>
        <v>#NAME?</v>
      </c>
    </row>
    <row r="40" spans="2:37" x14ac:dyDescent="0.25">
      <c r="B40" s="10" t="str">
        <f t="shared" ref="B40:B43" si="4">B34</f>
        <v>EUR.1M</v>
      </c>
      <c r="C40" s="64" t="e" cm="1">
        <f t="array" aca="1" ref="C40" ca="1">_xll.daInputQuotes(B40,AA11:AA44,AB11:AB44)</f>
        <v>#NAME?</v>
      </c>
      <c r="D40" s="10">
        <v>10</v>
      </c>
      <c r="E40" s="15" t="str">
        <f t="shared" si="3"/>
        <v>EUSW10V3 Curncy</v>
      </c>
      <c r="F40" s="15" t="s">
        <v>43</v>
      </c>
      <c r="G40" s="62">
        <v>-3.0109999999999998E-3</v>
      </c>
      <c r="H40" s="10"/>
      <c r="I40" s="15" t="s">
        <v>43</v>
      </c>
      <c r="J40" s="62">
        <v>-3.0109999999999998E-3</v>
      </c>
      <c r="K40" s="12"/>
      <c r="L40" s="24"/>
      <c r="M40" s="23"/>
      <c r="X40" s="15" t="s">
        <v>43</v>
      </c>
      <c r="Y40" s="17" t="e" cm="1">
        <f t="array" aca="1" ref="Y40" ca="1">_xll.BDH(E40,$F$3,$Y$8,$Y$8)/100</f>
        <v>#NAME?</v>
      </c>
      <c r="AA40" s="15" t="s">
        <v>43</v>
      </c>
      <c r="AB40" s="17" t="e" cm="1">
        <f t="array" aca="1" ref="AB40" ca="1">_xll.BDH(E40,$F$3,$AB$8,$AB$8)/100</f>
        <v>#NAME?</v>
      </c>
      <c r="AD40" s="15" t="s">
        <v>43</v>
      </c>
      <c r="AE40" s="17" t="e" cm="1">
        <f t="array" aca="1" ref="AE40" ca="1">_xll.BDH(E40,$F$3,$AE$8,$AE$8)/100</f>
        <v>#NAME?</v>
      </c>
      <c r="AG40" s="15" t="s">
        <v>43</v>
      </c>
      <c r="AH40" s="17" t="e" cm="1">
        <f t="array" aca="1" ref="AH40" ca="1">_xll.BDH(E40,$F$3,$AH$8,$AH$8)/100</f>
        <v>#NAME?</v>
      </c>
      <c r="AJ40" s="15" t="s">
        <v>43</v>
      </c>
      <c r="AK40" s="17" t="e" cm="1">
        <f t="array" aca="1" ref="AK40" ca="1">_xll.BDH(E40,$F$3,$AK$8,$AK$8)/100</f>
        <v>#NAME?</v>
      </c>
    </row>
    <row r="41" spans="2:37" x14ac:dyDescent="0.25">
      <c r="B41" s="10" t="str">
        <f t="shared" si="4"/>
        <v>EUR.3M</v>
      </c>
      <c r="C41" s="64" t="e" cm="1">
        <f t="array" aca="1" ref="C41" ca="1">_xll.daInputQuotes(B41,AD11:AD44,AE11:AE44)</f>
        <v>#NAME?</v>
      </c>
      <c r="D41" s="10">
        <v>12</v>
      </c>
      <c r="E41" s="15" t="str">
        <f t="shared" si="3"/>
        <v>EUSW12V3 Curncy</v>
      </c>
      <c r="F41" s="15" t="s">
        <v>44</v>
      </c>
      <c r="G41" s="62">
        <v>-2.1460000000000003E-3</v>
      </c>
      <c r="H41" s="10"/>
      <c r="I41" s="15" t="s">
        <v>44</v>
      </c>
      <c r="J41" s="62">
        <v>-2.1460000000000003E-3</v>
      </c>
      <c r="K41" s="12"/>
      <c r="L41" s="24"/>
      <c r="M41" s="23"/>
      <c r="X41" s="15" t="s">
        <v>44</v>
      </c>
      <c r="Y41" s="17" t="e" cm="1">
        <f t="array" aca="1" ref="Y41" ca="1">_xll.BDH(E41,$F$3,$Y$8,$Y$8)/100</f>
        <v>#NAME?</v>
      </c>
      <c r="AA41" s="15" t="s">
        <v>44</v>
      </c>
      <c r="AB41" s="17" t="e" cm="1">
        <f t="array" aca="1" ref="AB41" ca="1">_xll.BDH(E41,$F$3,$AB$8,$AB$8)/100</f>
        <v>#NAME?</v>
      </c>
      <c r="AD41" s="15" t="s">
        <v>44</v>
      </c>
      <c r="AE41" s="17" t="e" cm="1">
        <f t="array" aca="1" ref="AE41" ca="1">_xll.BDH(E41,$F$3,$AE$8,$AE$8)/100</f>
        <v>#NAME?</v>
      </c>
      <c r="AG41" s="15" t="s">
        <v>44</v>
      </c>
      <c r="AH41" s="17" t="e" cm="1">
        <f t="array" aca="1" ref="AH41" ca="1">_xll.BDH(E41,$F$3,$AH$8,$AH$8)/100</f>
        <v>#NAME?</v>
      </c>
      <c r="AJ41" s="15" t="s">
        <v>44</v>
      </c>
      <c r="AK41" s="17" t="e" cm="1">
        <f t="array" aca="1" ref="AK41" ca="1">_xll.BDH(E41,$F$3,$AK$8,$AK$8)/100</f>
        <v>#NAME?</v>
      </c>
    </row>
    <row r="42" spans="2:37" x14ac:dyDescent="0.25">
      <c r="B42" s="10" t="str">
        <f t="shared" si="4"/>
        <v>EUR.6M</v>
      </c>
      <c r="C42" s="64" t="e" cm="1">
        <f t="array" aca="1" ref="C42" ca="1">_xll.daInputQuotes(B42,AG11:AG44,AH11:AH44)</f>
        <v>#NAME?</v>
      </c>
      <c r="D42" s="10">
        <v>15</v>
      </c>
      <c r="E42" s="15" t="str">
        <f t="shared" si="3"/>
        <v>EUSW15V3 Curncy</v>
      </c>
      <c r="F42" s="15" t="s">
        <v>45</v>
      </c>
      <c r="G42" s="62">
        <v>-1.111E-3</v>
      </c>
      <c r="H42" s="10"/>
      <c r="I42" s="15" t="s">
        <v>45</v>
      </c>
      <c r="J42" s="62">
        <v>-1.111E-3</v>
      </c>
      <c r="K42" s="12"/>
      <c r="L42" s="24"/>
      <c r="M42" s="23"/>
      <c r="X42" s="15" t="s">
        <v>45</v>
      </c>
      <c r="Y42" s="17" t="e" cm="1">
        <f t="array" aca="1" ref="Y42" ca="1">_xll.BDH(E42,$F$3,$Y$8,$Y$8)/100</f>
        <v>#NAME?</v>
      </c>
      <c r="AA42" s="15" t="s">
        <v>45</v>
      </c>
      <c r="AB42" s="17" t="e" cm="1">
        <f t="array" aca="1" ref="AB42" ca="1">_xll.BDH(E42,$F$3,$AB$8,$AB$8)/100</f>
        <v>#NAME?</v>
      </c>
      <c r="AD42" s="15" t="s">
        <v>45</v>
      </c>
      <c r="AE42" s="17" t="e" cm="1">
        <f t="array" aca="1" ref="AE42" ca="1">_xll.BDH(E42,$F$3,$AE$8,$AE$8)/100</f>
        <v>#NAME?</v>
      </c>
      <c r="AG42" s="15" t="s">
        <v>45</v>
      </c>
      <c r="AH42" s="17" t="e" cm="1">
        <f t="array" aca="1" ref="AH42" ca="1">_xll.BDH(E42,$F$3,$AH$8,$AH$8)/100</f>
        <v>#NAME?</v>
      </c>
      <c r="AJ42" s="15" t="s">
        <v>45</v>
      </c>
      <c r="AK42" s="17" t="e" cm="1">
        <f t="array" aca="1" ref="AK42" ca="1">_xll.BDH(E42,$F$3,$AK$8,$AK$8)/100</f>
        <v>#NAME?</v>
      </c>
    </row>
    <row r="43" spans="2:37" x14ac:dyDescent="0.25">
      <c r="B43" s="10" t="str">
        <f t="shared" si="4"/>
        <v>EUR.YTD</v>
      </c>
      <c r="C43" s="64" t="e" cm="1">
        <f t="array" aca="1" ref="C43" ca="1">_xll.daInputQuotes(B43,AJ11:AJ44,AK11:AK44)</f>
        <v>#NAME?</v>
      </c>
      <c r="D43" s="10">
        <v>20</v>
      </c>
      <c r="E43" s="15" t="str">
        <f t="shared" si="3"/>
        <v>EUSW20V3 Curncy</v>
      </c>
      <c r="F43" s="15" t="s">
        <v>46</v>
      </c>
      <c r="G43" s="62">
        <v>-3.4099999999999999E-4</v>
      </c>
      <c r="H43" s="10"/>
      <c r="I43" s="15" t="s">
        <v>46</v>
      </c>
      <c r="J43" s="62">
        <v>-3.4099999999999999E-4</v>
      </c>
      <c r="K43" s="12"/>
      <c r="L43" s="24"/>
      <c r="M43" s="23"/>
      <c r="X43" s="15" t="s">
        <v>46</v>
      </c>
      <c r="Y43" s="17" t="e" cm="1">
        <f t="array" aca="1" ref="Y43" ca="1">_xll.BDH(E43,$F$3,$Y$8,$Y$8)/100</f>
        <v>#NAME?</v>
      </c>
      <c r="AA43" s="15" t="s">
        <v>46</v>
      </c>
      <c r="AB43" s="17" t="e" cm="1">
        <f t="array" aca="1" ref="AB43" ca="1">_xll.BDH(E43,$F$3,$AB$8,$AB$8)/100</f>
        <v>#NAME?</v>
      </c>
      <c r="AD43" s="15" t="s">
        <v>46</v>
      </c>
      <c r="AE43" s="17" t="e" cm="1">
        <f t="array" aca="1" ref="AE43" ca="1">_xll.BDH(E43,$F$3,$AE$8,$AE$8)/100</f>
        <v>#NAME?</v>
      </c>
      <c r="AG43" s="15" t="s">
        <v>46</v>
      </c>
      <c r="AH43" s="17" t="e" cm="1">
        <f t="array" aca="1" ref="AH43" ca="1">_xll.BDH(E43,$F$3,$AH$8,$AH$8)/100</f>
        <v>#NAME?</v>
      </c>
      <c r="AJ43" s="15" t="s">
        <v>46</v>
      </c>
      <c r="AK43" s="17" t="e" cm="1">
        <f t="array" aca="1" ref="AK43" ca="1">_xll.BDH(E43,$F$3,$AK$8,$AK$8)/100</f>
        <v>#NAME?</v>
      </c>
    </row>
    <row r="44" spans="2:37" x14ac:dyDescent="0.25">
      <c r="B44" s="11" t="s">
        <v>111</v>
      </c>
      <c r="D44" s="10">
        <v>30</v>
      </c>
      <c r="E44" s="16" t="str">
        <f t="shared" si="3"/>
        <v>EUSW30V3 Curncy</v>
      </c>
      <c r="F44" s="16" t="s">
        <v>47</v>
      </c>
      <c r="G44" s="63">
        <v>-6.3900000000000003E-4</v>
      </c>
      <c r="H44" s="10"/>
      <c r="I44" s="16" t="s">
        <v>47</v>
      </c>
      <c r="J44" s="63">
        <v>-6.3900000000000003E-4</v>
      </c>
      <c r="K44" s="12"/>
      <c r="L44" s="24"/>
      <c r="M44" s="23"/>
      <c r="X44" s="16" t="s">
        <v>47</v>
      </c>
      <c r="Y44" s="18" t="e" cm="1">
        <f t="array" aca="1" ref="Y44" ca="1">_xll.BDH(E44,$F$3,$Y$8,$Y$8)/100</f>
        <v>#NAME?</v>
      </c>
      <c r="AA44" s="16" t="s">
        <v>47</v>
      </c>
      <c r="AB44" s="18" t="e" cm="1">
        <f t="array" aca="1" ref="AB44" ca="1">_xll.BDH(E44,$F$3,$AB$8,$AB$8)/100</f>
        <v>#NAME?</v>
      </c>
      <c r="AD44" s="16" t="s">
        <v>47</v>
      </c>
      <c r="AE44" s="18" t="e" cm="1">
        <f t="array" aca="1" ref="AE44" ca="1">_xll.BDH(E44,$F$3,$AE$8,$AE$8)/100</f>
        <v>#NAME?</v>
      </c>
      <c r="AG44" s="16" t="s">
        <v>47</v>
      </c>
      <c r="AH44" s="18" t="e" cm="1">
        <f t="array" aca="1" ref="AH44" ca="1">_xll.BDH(E44,$F$3,$AH$8,$AH$8)/100</f>
        <v>#NAME?</v>
      </c>
      <c r="AJ44" s="16" t="s">
        <v>47</v>
      </c>
      <c r="AK44" s="18" t="e" cm="1">
        <f t="array" aca="1" ref="AK44" ca="1">_xll.BDH(E44,$F$3,$AK$8,$AK$8)/100</f>
        <v>#NAME?</v>
      </c>
    </row>
    <row r="45" spans="2:37" x14ac:dyDescent="0.25">
      <c r="B45" s="10" t="str">
        <f>B39</f>
        <v>EUR.1W</v>
      </c>
      <c r="C45" s="64" t="e" cm="1">
        <f t="array" aca="1" ref="C45" ca="1">_xll.daLastCalibrated(B45)</f>
        <v>#NAME?</v>
      </c>
    </row>
    <row r="46" spans="2:37" x14ac:dyDescent="0.25">
      <c r="B46" s="10" t="str">
        <f t="shared" ref="B46:B49" si="5">B40</f>
        <v>EUR.1M</v>
      </c>
      <c r="C46" s="64" t="e" cm="1">
        <f t="array" aca="1" ref="C46" ca="1">_xll.daLastCalibrated(B46)</f>
        <v>#NAME?</v>
      </c>
    </row>
    <row r="47" spans="2:37" x14ac:dyDescent="0.25">
      <c r="B47" s="10" t="str">
        <f t="shared" si="5"/>
        <v>EUR.3M</v>
      </c>
      <c r="C47" s="64" t="e" cm="1">
        <f t="array" aca="1" ref="C47" ca="1">_xll.daLastCalibrated(B47)</f>
        <v>#NAME?</v>
      </c>
    </row>
    <row r="48" spans="2:37" x14ac:dyDescent="0.25">
      <c r="B48" s="10" t="str">
        <f t="shared" si="5"/>
        <v>EUR.6M</v>
      </c>
      <c r="C48" s="64" t="e" cm="1">
        <f t="array" aca="1" ref="C48" ca="1">_xll.daLastCalibrated(B48)</f>
        <v>#NAME?</v>
      </c>
    </row>
    <row r="49" spans="2:3" x14ac:dyDescent="0.25">
      <c r="B49" s="10" t="str">
        <f t="shared" si="5"/>
        <v>EUR.YTD</v>
      </c>
      <c r="C49" s="64" t="e" cm="1">
        <f t="array" aca="1" ref="C49" ca="1">_xll.daLastCalibrated(B49)</f>
        <v>#NAME?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F6952-52F9-4A6E-B77E-EF8CA8421287}">
  <sheetPr codeName="Sheet2"/>
  <dimension ref="B2:J34"/>
  <sheetViews>
    <sheetView workbookViewId="0">
      <selection activeCell="H26" sqref="H26"/>
    </sheetView>
  </sheetViews>
  <sheetFormatPr defaultRowHeight="15" x14ac:dyDescent="0.25"/>
  <cols>
    <col min="1" max="1" width="9.140625" style="10"/>
    <col min="2" max="2" width="21.42578125" style="10" bestFit="1" customWidth="1"/>
    <col min="3" max="3" width="21.28515625" style="10" customWidth="1"/>
    <col min="4" max="4" width="9.140625" style="10"/>
    <col min="5" max="5" width="21" style="10" customWidth="1"/>
    <col min="6" max="6" width="16" style="10" customWidth="1"/>
    <col min="7" max="7" width="20.7109375" style="10" customWidth="1"/>
    <col min="8" max="8" width="15.7109375" style="10" customWidth="1"/>
    <col min="9" max="9" width="13.5703125" style="10" bestFit="1" customWidth="1"/>
    <col min="10" max="10" width="11.5703125" style="10" bestFit="1" customWidth="1"/>
    <col min="11" max="12" width="9.140625" style="10"/>
    <col min="13" max="13" width="14.5703125" style="10" bestFit="1" customWidth="1"/>
    <col min="14" max="15" width="11.140625" style="10" bestFit="1" customWidth="1"/>
    <col min="16" max="16384" width="9.140625" style="10"/>
  </cols>
  <sheetData>
    <row r="2" spans="2:3" x14ac:dyDescent="0.25">
      <c r="B2" s="10" t="s">
        <v>8</v>
      </c>
      <c r="C2" s="3"/>
    </row>
    <row r="3" spans="2:3" x14ac:dyDescent="0.25">
      <c r="B3" s="10" t="s">
        <v>9</v>
      </c>
      <c r="C3" s="4"/>
    </row>
    <row r="4" spans="2:3" x14ac:dyDescent="0.25">
      <c r="B4" s="10" t="s">
        <v>10</v>
      </c>
      <c r="C4" s="5"/>
    </row>
    <row r="5" spans="2:3" x14ac:dyDescent="0.25">
      <c r="B5" s="10" t="s">
        <v>11</v>
      </c>
      <c r="C5" s="6"/>
    </row>
    <row r="7" spans="2:3" x14ac:dyDescent="0.25">
      <c r="B7" s="11" t="s">
        <v>56</v>
      </c>
      <c r="C7" s="11" t="s">
        <v>7</v>
      </c>
    </row>
    <row r="8" spans="2:3" x14ac:dyDescent="0.25">
      <c r="B8" s="9" t="str" cm="1">
        <f t="array" ref="B8:B9">_xll.daListModelsInMemory()</f>
        <v>eur.rt</v>
      </c>
      <c r="C8" s="21" t="e" cm="1">
        <f t="array" aca="1" ref="C8" ca="1">_xll.daLastCalibrated(B8)</f>
        <v>#NAME?</v>
      </c>
    </row>
    <row r="9" spans="2:3" x14ac:dyDescent="0.25">
      <c r="B9" s="9" t="str">
        <v>eur.eod</v>
      </c>
      <c r="C9" s="21" t="e" cm="1">
        <f t="array" aca="1" ref="C9" ca="1">_xll.daLastCalibrated(B9)</f>
        <v>#NAME?</v>
      </c>
    </row>
    <row r="24" spans="2:10" x14ac:dyDescent="0.25">
      <c r="B24" s="11" t="s">
        <v>55</v>
      </c>
    </row>
    <row r="25" spans="2:10" x14ac:dyDescent="0.25">
      <c r="G25" s="37"/>
    </row>
    <row r="26" spans="2:10" x14ac:dyDescent="0.25">
      <c r="B26" s="14" t="s">
        <v>57</v>
      </c>
      <c r="C26" s="14" t="s">
        <v>58</v>
      </c>
      <c r="D26" s="14" t="s">
        <v>0</v>
      </c>
      <c r="E26" s="14" t="s">
        <v>64</v>
      </c>
      <c r="F26" s="14" t="s">
        <v>59</v>
      </c>
      <c r="G26" s="13" t="s">
        <v>66</v>
      </c>
      <c r="H26" s="14" t="s">
        <v>61</v>
      </c>
      <c r="I26" s="14" t="s">
        <v>65</v>
      </c>
      <c r="J26" s="14" t="s">
        <v>60</v>
      </c>
    </row>
    <row r="27" spans="2:10" x14ac:dyDescent="0.25">
      <c r="B27" s="28" t="s">
        <v>62</v>
      </c>
      <c r="C27" s="29">
        <v>47437</v>
      </c>
      <c r="D27" s="29" t="s">
        <v>81</v>
      </c>
      <c r="E27" s="30">
        <v>100</v>
      </c>
      <c r="F27" s="25" t="str" cm="1">
        <f t="array" ref="F27">IFERROR(_xll.daSwapRate("EUR.RT",B27,C27,D27)*1,"")</f>
        <v/>
      </c>
      <c r="G27" s="38" t="str" cm="1">
        <f t="array" ref="G27">IFERROR((F27-IFERROR(_xll.daSwapRate("EUR.EOD",B27,C27,D27)*1,""))*10000,"")</f>
        <v/>
      </c>
      <c r="H27" s="41"/>
      <c r="I27" s="52" t="str" cm="1">
        <f t="array" ref="I27">IFERROR(_xll.daAnnuity("EUR.RT",B27,C27,D27)*10000,"")</f>
        <v/>
      </c>
      <c r="J27" s="44" t="str" cm="1">
        <f t="array" ref="J27">IFERROR(_xll.daSwapNPV("EUR.RT",B27,C27,D27,IF(H27="",F27,H27))*E27*100000,"")</f>
        <v/>
      </c>
    </row>
    <row r="28" spans="2:10" x14ac:dyDescent="0.25">
      <c r="B28" s="31" t="s">
        <v>82</v>
      </c>
      <c r="C28" s="32" t="s">
        <v>97</v>
      </c>
      <c r="D28" s="32" t="s">
        <v>63</v>
      </c>
      <c r="E28" s="33">
        <v>100</v>
      </c>
      <c r="F28" s="26" t="str" cm="1">
        <f t="array" ref="F28">IFERROR(_xll.daSwapRate("EUR.RT",B28,C28,D28)*1,"")</f>
        <v/>
      </c>
      <c r="G28" s="39" t="str" cm="1">
        <f t="array" ref="G28">IFERROR((F28-IFERROR(_xll.daSwapRate("EUR.EOD",B28,C28,D28)*1,""))*10000,"")</f>
        <v/>
      </c>
      <c r="H28" s="42"/>
      <c r="I28" s="53" t="str" cm="1">
        <f t="array" ref="I28">IFERROR(_xll.daAnnuity("EUR.RT",B28,C28,D28)*10000,"")</f>
        <v/>
      </c>
      <c r="J28" s="45" t="str" cm="1">
        <f t="array" ref="J28">IFERROR(_xll.daSwapNPV("EUR.RT",B28,C28,D28,IF(H28="",F28,H28))*E28*100000,"")</f>
        <v/>
      </c>
    </row>
    <row r="29" spans="2:10" x14ac:dyDescent="0.25">
      <c r="B29" s="31" t="s">
        <v>62</v>
      </c>
      <c r="C29" s="32" t="s">
        <v>80</v>
      </c>
      <c r="D29" s="32" t="s">
        <v>63</v>
      </c>
      <c r="E29" s="33">
        <v>100</v>
      </c>
      <c r="F29" s="26" t="str" cm="1">
        <f t="array" ref="F29">IFERROR(_xll.daSwapRate("EUR.RT",B29,C29,D29)*1,"")</f>
        <v/>
      </c>
      <c r="G29" s="39" t="str" cm="1">
        <f t="array" ref="G29">IFERROR((F29-IFERROR(_xll.daSwapRate("EUR.EOD",B29,C29,D29)*1,""))*10000,"")</f>
        <v/>
      </c>
      <c r="H29" s="42"/>
      <c r="I29" s="53" t="str" cm="1">
        <f t="array" ref="I29">IFERROR(_xll.daAnnuity("EUR.RT",B29,C29,D29)*10000,"")</f>
        <v/>
      </c>
      <c r="J29" s="45" t="str" cm="1">
        <f t="array" ref="J29">IFERROR(_xll.daSwapNPV("EUR.RT",B29,C29,D29,IF(H29="",F29,H29))*E29*100000,"")</f>
        <v/>
      </c>
    </row>
    <row r="30" spans="2:10" x14ac:dyDescent="0.25">
      <c r="B30" s="31"/>
      <c r="C30" s="32"/>
      <c r="D30" s="32"/>
      <c r="E30" s="33"/>
      <c r="F30" s="26" t="str" cm="1">
        <f t="array" ref="F30">IFERROR(_xll.daSwapRate("EUR.RT",B30,C30,D30)*1,"")</f>
        <v/>
      </c>
      <c r="G30" s="39" t="str" cm="1">
        <f t="array" ref="G30">IFERROR((F30-IFERROR(_xll.daSwapRate("EUR.EOD",B30,C30,D30)*1,""))*10000,"")</f>
        <v/>
      </c>
      <c r="H30" s="42"/>
      <c r="I30" s="53" t="str" cm="1">
        <f t="array" ref="I30">IFERROR(_xll.daAnnuity("EUR.RT",B30,C30,D30)*10000,"")</f>
        <v/>
      </c>
      <c r="J30" s="45" t="str" cm="1">
        <f t="array" ref="J30">IFERROR(_xll.daSwapNPV("EUR.RT",B30,C30,D30,IF(H30="",F30,H30))*E30*100000,"")</f>
        <v/>
      </c>
    </row>
    <row r="31" spans="2:10" x14ac:dyDescent="0.25">
      <c r="B31" s="31"/>
      <c r="C31" s="32"/>
      <c r="D31" s="32"/>
      <c r="E31" s="33"/>
      <c r="F31" s="26" t="str" cm="1">
        <f t="array" ref="F31">IFERROR(_xll.daSwapRate("EUR.RT",B31,C31,D31)*1,"")</f>
        <v/>
      </c>
      <c r="G31" s="39" t="str" cm="1">
        <f t="array" ref="G31">IFERROR((F31-IFERROR(_xll.daSwapRate("EUR.EOD",B31,C31,D31)*1,""))*10000,"")</f>
        <v/>
      </c>
      <c r="H31" s="42"/>
      <c r="I31" s="53" t="str" cm="1">
        <f t="array" ref="I31">IFERROR(_xll.daAnnuity("EUR.RT",B31,C31,D31)*10000,"")</f>
        <v/>
      </c>
      <c r="J31" s="45" t="str" cm="1">
        <f t="array" ref="J31">IFERROR(_xll.daSwapNPV("EUR.RT",B31,C31,D31,IF(H31="",F31,H31))*E31*100000,"")</f>
        <v/>
      </c>
    </row>
    <row r="32" spans="2:10" x14ac:dyDescent="0.25">
      <c r="B32" s="31"/>
      <c r="C32" s="32"/>
      <c r="D32" s="32"/>
      <c r="E32" s="33"/>
      <c r="F32" s="26" t="str" cm="1">
        <f t="array" ref="F32">IFERROR(_xll.daSwapRate("EUR.RT",B32,C32,D32)*1,"")</f>
        <v/>
      </c>
      <c r="G32" s="39" t="str" cm="1">
        <f t="array" ref="G32">IFERROR((F32-IFERROR(_xll.daSwapRate("EUR.EOD",B32,C32,D32)*1,""))*10000,"")</f>
        <v/>
      </c>
      <c r="H32" s="42"/>
      <c r="I32" s="53" t="str" cm="1">
        <f t="array" ref="I32">IFERROR(_xll.daAnnuity("EUR.RT",B32,C32,D32)*10000,"")</f>
        <v/>
      </c>
      <c r="J32" s="45" t="str" cm="1">
        <f t="array" ref="J32">IFERROR(_xll.daSwapNPV("EUR.RT",B32,C32,D32,IF(H32="",F32,H32))*E32*100000,"")</f>
        <v/>
      </c>
    </row>
    <row r="33" spans="2:10" x14ac:dyDescent="0.25">
      <c r="B33" s="31"/>
      <c r="C33" s="32"/>
      <c r="D33" s="32"/>
      <c r="E33" s="33"/>
      <c r="F33" s="26" t="str" cm="1">
        <f t="array" ref="F33">IFERROR(_xll.daSwapRate("EUR.RT",B33,C33,D33)*1,"")</f>
        <v/>
      </c>
      <c r="G33" s="39" t="str" cm="1">
        <f t="array" ref="G33">IFERROR((F33-IFERROR(_xll.daSwapRate("EUR.EOD",B33,C33,D33)*1,""))*10000,"")</f>
        <v/>
      </c>
      <c r="H33" s="42"/>
      <c r="I33" s="53" t="str" cm="1">
        <f t="array" ref="I33">IFERROR(_xll.daAnnuity("EUR.RT",B33,C33,D33)*10000,"")</f>
        <v/>
      </c>
      <c r="J33" s="45" t="str" cm="1">
        <f t="array" ref="J33">IFERROR(_xll.daSwapNPV("EUR.RT",B33,C33,D33,IF(H33="",F33,H33))*E33*100000,"")</f>
        <v/>
      </c>
    </row>
    <row r="34" spans="2:10" x14ac:dyDescent="0.25">
      <c r="B34" s="34"/>
      <c r="C34" s="35"/>
      <c r="D34" s="35"/>
      <c r="E34" s="36"/>
      <c r="F34" s="27" t="str" cm="1">
        <f t="array" ref="F34">IFERROR(_xll.daSwapRate("EUR.RT",B34,C34,D34)*1,"")</f>
        <v/>
      </c>
      <c r="G34" s="40" t="str" cm="1">
        <f t="array" ref="G34">IFERROR((F34-IFERROR(_xll.daSwapRate("EUR.EOD",B34,C34,D34)*1,""))*10000,"")</f>
        <v/>
      </c>
      <c r="H34" s="43"/>
      <c r="I34" s="54" t="str" cm="1">
        <f t="array" ref="I34">IFERROR(_xll.daAnnuity("EUR.RT",B34,C34,D34)*10000,"")</f>
        <v/>
      </c>
      <c r="J34" s="46" t="str" cm="1">
        <f t="array" ref="J34">IFERROR(_xll.daSwapNPV("EUR.RT",B34,C34,D34,IF(H34="",F34,H34))*E34*100000,"")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EDD6-552B-406E-B0C7-4334EDA04ADF}">
  <sheetPr codeName="Sheet3"/>
  <dimension ref="B2:M40"/>
  <sheetViews>
    <sheetView workbookViewId="0">
      <selection activeCell="C12" sqref="C12"/>
    </sheetView>
  </sheetViews>
  <sheetFormatPr defaultRowHeight="15" x14ac:dyDescent="0.25"/>
  <cols>
    <col min="1" max="1" width="9.140625" style="10"/>
    <col min="2" max="2" width="16.5703125" style="10" bestFit="1" customWidth="1"/>
    <col min="3" max="3" width="16.42578125" style="10" bestFit="1" customWidth="1"/>
    <col min="4" max="4" width="17.140625" style="10" customWidth="1"/>
    <col min="5" max="5" width="12.42578125" style="10" customWidth="1"/>
    <col min="6" max="6" width="15.28515625" style="10" bestFit="1" customWidth="1"/>
    <col min="7" max="7" width="11.5703125" style="10" bestFit="1" customWidth="1"/>
    <col min="8" max="8" width="23.7109375" style="10" bestFit="1" customWidth="1"/>
    <col min="9" max="19" width="9.140625" style="10"/>
    <col min="20" max="20" width="9.7109375" style="10" bestFit="1" customWidth="1"/>
    <col min="21" max="16384" width="9.140625" style="10"/>
  </cols>
  <sheetData>
    <row r="2" spans="2:8" x14ac:dyDescent="0.25">
      <c r="B2" s="10" t="s">
        <v>8</v>
      </c>
      <c r="C2" s="3"/>
    </row>
    <row r="3" spans="2:8" x14ac:dyDescent="0.25">
      <c r="B3" s="10" t="s">
        <v>9</v>
      </c>
      <c r="C3" s="4"/>
    </row>
    <row r="4" spans="2:8" x14ac:dyDescent="0.25">
      <c r="B4" s="10" t="s">
        <v>10</v>
      </c>
      <c r="C4" s="5"/>
    </row>
    <row r="5" spans="2:8" x14ac:dyDescent="0.25">
      <c r="B5" s="10" t="s">
        <v>11</v>
      </c>
      <c r="C5" s="6"/>
    </row>
    <row r="7" spans="2:8" x14ac:dyDescent="0.25">
      <c r="B7" s="10" t="s">
        <v>68</v>
      </c>
    </row>
    <row r="8" spans="2:8" x14ac:dyDescent="0.25">
      <c r="B8" s="10" t="s">
        <v>69</v>
      </c>
      <c r="C8" s="3" t="s">
        <v>70</v>
      </c>
    </row>
    <row r="9" spans="2:8" x14ac:dyDescent="0.25">
      <c r="B9" s="10" t="s">
        <v>67</v>
      </c>
      <c r="C9" s="4" t="str" cm="1">
        <f t="array" ref="C9">_xll.daCreatePortfolio(C8)</f>
        <v>myswapportfolio</v>
      </c>
    </row>
    <row r="11" spans="2:8" x14ac:dyDescent="0.25">
      <c r="B11" s="10" t="s">
        <v>71</v>
      </c>
    </row>
    <row r="12" spans="2:8" x14ac:dyDescent="0.25">
      <c r="C12" s="66" cm="1">
        <f t="array" ref="C12">_xll.daAddPortfolioBlocks(C9,B14:B30,C14:C30,D14:D30,E14:E30,F14:F30,G14:G30,H14:H30)</f>
        <v>44144.512340381945</v>
      </c>
    </row>
    <row r="13" spans="2:8" x14ac:dyDescent="0.25">
      <c r="B13" s="10" t="s">
        <v>83</v>
      </c>
      <c r="C13" s="10" t="s">
        <v>85</v>
      </c>
      <c r="D13" s="10" t="s">
        <v>86</v>
      </c>
      <c r="E13" s="10" t="s">
        <v>0</v>
      </c>
      <c r="F13" s="10" t="s">
        <v>87</v>
      </c>
      <c r="G13" s="10" t="s">
        <v>88</v>
      </c>
      <c r="H13" s="10" t="s">
        <v>89</v>
      </c>
    </row>
    <row r="14" spans="2:8" x14ac:dyDescent="0.25">
      <c r="B14" s="6">
        <v>51885</v>
      </c>
      <c r="C14" s="56">
        <v>43544</v>
      </c>
      <c r="D14" s="56">
        <v>54504</v>
      </c>
      <c r="E14" s="6" t="s">
        <v>84</v>
      </c>
      <c r="F14" s="57">
        <v>-50000000</v>
      </c>
      <c r="G14" s="58">
        <v>1.277E-2</v>
      </c>
      <c r="H14" s="58"/>
    </row>
    <row r="15" spans="2:8" x14ac:dyDescent="0.25">
      <c r="B15" s="6">
        <v>35942</v>
      </c>
      <c r="C15" s="56">
        <v>41451</v>
      </c>
      <c r="D15" s="56">
        <v>52408</v>
      </c>
      <c r="E15" s="6" t="s">
        <v>84</v>
      </c>
      <c r="F15" s="57">
        <v>100000000</v>
      </c>
      <c r="G15" s="58">
        <v>2.6175E-2</v>
      </c>
      <c r="H15" s="58"/>
    </row>
    <row r="16" spans="2:8" x14ac:dyDescent="0.25">
      <c r="B16" s="6">
        <v>36895</v>
      </c>
      <c r="C16" s="56">
        <v>41598</v>
      </c>
      <c r="D16" s="56">
        <v>48904</v>
      </c>
      <c r="E16" s="6" t="s">
        <v>84</v>
      </c>
      <c r="F16" s="57">
        <v>-200000000</v>
      </c>
      <c r="G16" s="58">
        <v>2.785E-2</v>
      </c>
      <c r="H16" s="58"/>
    </row>
    <row r="17" spans="2:8" x14ac:dyDescent="0.25">
      <c r="B17" s="6">
        <v>36788</v>
      </c>
      <c r="C17" s="56">
        <v>41579</v>
      </c>
      <c r="D17" s="56">
        <v>48884</v>
      </c>
      <c r="E17" s="6" t="s">
        <v>84</v>
      </c>
      <c r="F17" s="57">
        <v>-100000000</v>
      </c>
      <c r="G17" s="58">
        <v>2.7425000000000001E-2</v>
      </c>
      <c r="H17" s="58"/>
    </row>
    <row r="18" spans="2:8" x14ac:dyDescent="0.25">
      <c r="B18" s="6">
        <v>40505</v>
      </c>
      <c r="C18" s="56">
        <v>42081</v>
      </c>
      <c r="D18" s="56">
        <v>49387</v>
      </c>
      <c r="E18" s="6" t="s">
        <v>84</v>
      </c>
      <c r="F18" s="57">
        <v>100000000</v>
      </c>
      <c r="G18" s="58">
        <v>1.12E-2</v>
      </c>
      <c r="H18" s="58"/>
    </row>
    <row r="19" spans="2:8" x14ac:dyDescent="0.25">
      <c r="B19" s="6">
        <v>42551</v>
      </c>
      <c r="C19" s="56">
        <v>42389</v>
      </c>
      <c r="D19" s="56">
        <v>47868</v>
      </c>
      <c r="E19" s="6" t="s">
        <v>84</v>
      </c>
      <c r="F19" s="57">
        <v>200000000</v>
      </c>
      <c r="G19" s="58">
        <v>1.5875E-2</v>
      </c>
      <c r="H19" s="58"/>
    </row>
    <row r="20" spans="2:8" x14ac:dyDescent="0.25">
      <c r="B20" s="6">
        <v>49021</v>
      </c>
      <c r="C20" s="56">
        <v>43259</v>
      </c>
      <c r="D20" s="56">
        <v>46912</v>
      </c>
      <c r="E20" s="6" t="s">
        <v>84</v>
      </c>
      <c r="F20" s="57">
        <v>-100000000</v>
      </c>
      <c r="G20" s="58">
        <v>1.1185E-2</v>
      </c>
      <c r="H20" s="58"/>
    </row>
    <row r="21" spans="2:8" x14ac:dyDescent="0.25">
      <c r="B21" s="6"/>
      <c r="C21" s="56"/>
      <c r="D21" s="56"/>
      <c r="E21" s="6"/>
      <c r="F21" s="57"/>
      <c r="G21" s="58"/>
      <c r="H21" s="58"/>
    </row>
    <row r="22" spans="2:8" x14ac:dyDescent="0.25">
      <c r="B22" s="6"/>
      <c r="C22" s="56"/>
      <c r="D22" s="56"/>
      <c r="E22" s="6"/>
      <c r="F22" s="57"/>
      <c r="G22" s="58"/>
      <c r="H22" s="58"/>
    </row>
    <row r="23" spans="2:8" x14ac:dyDescent="0.25">
      <c r="B23" s="6"/>
      <c r="C23" s="56"/>
      <c r="D23" s="56"/>
      <c r="E23" s="6"/>
      <c r="F23" s="57"/>
      <c r="G23" s="58"/>
      <c r="H23" s="58"/>
    </row>
    <row r="24" spans="2:8" x14ac:dyDescent="0.25">
      <c r="B24" s="6"/>
      <c r="C24" s="56"/>
      <c r="D24" s="56"/>
      <c r="E24" s="6"/>
      <c r="F24" s="57"/>
      <c r="G24" s="58"/>
      <c r="H24" s="58"/>
    </row>
    <row r="25" spans="2:8" x14ac:dyDescent="0.25">
      <c r="B25" s="6"/>
      <c r="C25" s="56"/>
      <c r="D25" s="56"/>
      <c r="E25" s="6"/>
      <c r="F25" s="57"/>
      <c r="G25" s="58"/>
      <c r="H25" s="6"/>
    </row>
    <row r="26" spans="2:8" x14ac:dyDescent="0.25">
      <c r="B26" s="6"/>
      <c r="C26" s="56"/>
      <c r="D26" s="56"/>
      <c r="E26" s="6"/>
      <c r="F26" s="57"/>
      <c r="G26" s="58"/>
      <c r="H26" s="6"/>
    </row>
    <row r="27" spans="2:8" x14ac:dyDescent="0.25">
      <c r="B27" s="6"/>
      <c r="C27" s="56"/>
      <c r="D27" s="56"/>
      <c r="E27" s="6"/>
      <c r="F27" s="57"/>
      <c r="G27" s="58"/>
      <c r="H27" s="6"/>
    </row>
    <row r="28" spans="2:8" x14ac:dyDescent="0.25">
      <c r="B28" s="6"/>
      <c r="C28" s="56"/>
      <c r="D28" s="56"/>
      <c r="E28" s="6"/>
      <c r="F28" s="57"/>
      <c r="G28" s="58"/>
      <c r="H28" s="6"/>
    </row>
    <row r="29" spans="2:8" x14ac:dyDescent="0.25">
      <c r="B29" s="6"/>
      <c r="C29" s="56"/>
      <c r="D29" s="56"/>
      <c r="E29" s="6"/>
      <c r="F29" s="57"/>
      <c r="G29" s="58"/>
      <c r="H29" s="6"/>
    </row>
    <row r="30" spans="2:8" x14ac:dyDescent="0.25">
      <c r="B30" s="6"/>
      <c r="C30" s="56"/>
      <c r="D30" s="56"/>
      <c r="E30" s="6"/>
      <c r="F30" s="57"/>
      <c r="G30" s="58"/>
      <c r="H30" s="6"/>
    </row>
    <row r="34" spans="12:13" x14ac:dyDescent="0.25">
      <c r="L34" s="60"/>
      <c r="M34" s="60"/>
    </row>
    <row r="35" spans="12:13" x14ac:dyDescent="0.25">
      <c r="L35" s="60"/>
      <c r="M35" s="60"/>
    </row>
    <row r="36" spans="12:13" x14ac:dyDescent="0.25">
      <c r="L36" s="60"/>
      <c r="M36" s="60"/>
    </row>
    <row r="37" spans="12:13" x14ac:dyDescent="0.25">
      <c r="L37" s="60"/>
      <c r="M37" s="60"/>
    </row>
    <row r="38" spans="12:13" x14ac:dyDescent="0.25">
      <c r="L38" s="60"/>
      <c r="M38" s="60"/>
    </row>
    <row r="39" spans="12:13" x14ac:dyDescent="0.25">
      <c r="L39" s="60"/>
      <c r="M39" s="60"/>
    </row>
    <row r="40" spans="12:13" x14ac:dyDescent="0.25">
      <c r="L40" s="60"/>
      <c r="M40" s="6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AB2A-3C23-4E1A-827A-865091F4E939}">
  <sheetPr codeName="Sheet4"/>
  <dimension ref="B2:AA56"/>
  <sheetViews>
    <sheetView workbookViewId="0">
      <selection activeCell="P28" sqref="P28"/>
    </sheetView>
  </sheetViews>
  <sheetFormatPr defaultRowHeight="15" x14ac:dyDescent="0.25"/>
  <cols>
    <col min="1" max="1" width="9.140625" style="10"/>
    <col min="2" max="2" width="18.85546875" style="10" customWidth="1"/>
    <col min="3" max="3" width="21.42578125" style="10" bestFit="1" customWidth="1"/>
    <col min="4" max="4" width="9.140625" style="10"/>
    <col min="5" max="5" width="19.140625" style="10" customWidth="1"/>
    <col min="6" max="6" width="11.5703125" style="10" bestFit="1" customWidth="1"/>
    <col min="7" max="7" width="10.7109375" style="10" bestFit="1" customWidth="1"/>
    <col min="8" max="8" width="9.140625" style="10"/>
    <col min="9" max="9" width="16.28515625" style="10" bestFit="1" customWidth="1"/>
    <col min="10" max="10" width="11.5703125" style="10" bestFit="1" customWidth="1"/>
    <col min="11" max="11" width="13.28515625" style="10" bestFit="1" customWidth="1"/>
    <col min="12" max="13" width="9.140625" style="10"/>
    <col min="14" max="15" width="10.7109375" style="10" bestFit="1" customWidth="1"/>
    <col min="16" max="16" width="9.140625" style="10"/>
    <col min="17" max="17" width="14.42578125" style="10" customWidth="1"/>
    <col min="18" max="18" width="9.140625" style="10"/>
    <col min="19" max="19" width="12.85546875" style="10" customWidth="1"/>
    <col min="20" max="21" width="9.140625" style="10"/>
    <col min="22" max="23" width="10.7109375" style="10" bestFit="1" customWidth="1"/>
    <col min="24" max="24" width="9.140625" style="10"/>
    <col min="25" max="25" width="14.7109375" style="10" customWidth="1"/>
    <col min="26" max="26" width="11.5703125" style="10" bestFit="1" customWidth="1"/>
    <col min="27" max="27" width="12.28515625" style="10" customWidth="1"/>
    <col min="28" max="16384" width="9.140625" style="10"/>
  </cols>
  <sheetData>
    <row r="2" spans="2:27" x14ac:dyDescent="0.25">
      <c r="B2" s="10" t="s">
        <v>8</v>
      </c>
      <c r="C2" s="3"/>
      <c r="E2" s="10" t="s">
        <v>75</v>
      </c>
      <c r="M2" s="10" t="s">
        <v>74</v>
      </c>
      <c r="U2" s="10" t="s">
        <v>73</v>
      </c>
    </row>
    <row r="3" spans="2:27" x14ac:dyDescent="0.25">
      <c r="B3" s="10" t="s">
        <v>9</v>
      </c>
      <c r="C3" s="4"/>
      <c r="E3" s="10" t="str">
        <f>M3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daLib.Instruments.Swaps.IRS.NPV(CurveModel model, Double fixed_rate) in C:\Users\ALBEC\Defacto Analytics Aps\Gustav Rasmussen - New folder\Visual Studio\ALBEC Repos\dskLibrary\daLib\src\Instruments\Swaps\IRS.cs:line 45_x000D_
   at daLib.Blocks.PortfolioBlock.NPV(CurveModel model) in C:\Users\ALBEC\Defacto Analytics Aps\Gustav Rasmussen - New folder\Visual Studio\ALBEC Repos\dskLibrary\daLib\src\Blocks\Block.cs:line 110_x000D_
   at daAnalyticsExcel.Exposure.ExcelFunctionExposure.daGetPortfolioBlocks(String Portfolio_ID, String CurveModel_ID)_x000D_
   at WrapperType.Wrapped_f19_GetPortfolioBlocks(String , Object[] )</v>
      </c>
      <c r="F3" s="10">
        <f t="shared" ref="F3:I4" si="0">N3</f>
        <v>0</v>
      </c>
      <c r="G3" s="10">
        <f t="shared" si="0"/>
        <v>0</v>
      </c>
      <c r="H3" s="10">
        <f t="shared" si="0"/>
        <v>0</v>
      </c>
      <c r="I3" s="10">
        <f t="shared" si="0"/>
        <v>0</v>
      </c>
      <c r="J3" s="10">
        <f t="shared" ref="J3" si="1">R3</f>
        <v>0</v>
      </c>
      <c r="K3" s="10" t="s">
        <v>76</v>
      </c>
      <c r="M3" s="10" t="str" cm="1">
        <f t="array" ref="M3">_xll.daGetPortfolioBlocks(B27,"EUR.RT")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daLib.Instruments.Swaps.IRS.NPV(CurveModel model, Double fixed_rate) in C:\Users\ALBEC\Defacto Analytics Aps\Gustav Rasmussen - New folder\Visual Studio\ALBEC Repos\dskLibrary\daLib\src\Instruments\Swaps\IRS.cs:line 45_x000D_
   at daLib.Blocks.PortfolioBlock.NPV(CurveModel model) in C:\Users\ALBEC\Defacto Analytics Aps\Gustav Rasmussen - New folder\Visual Studio\ALBEC Repos\dskLibrary\daLib\src\Blocks\Block.cs:line 110_x000D_
   at daAnalyticsExcel.Exposure.ExcelFunctionExposure.daGetPortfolioBlocks(String Portfolio_ID, String CurveModel_ID)_x000D_
   at WrapperType.Wrapped_f19_GetPortfolioBlocks(String , Object[] )</v>
      </c>
      <c r="U3" s="10" t="str" cm="1">
        <f t="array" ref="U3">_xll.daGetPortfolioBlocks(B27,"EUR.EOD")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daLib.Instruments.Swaps.IRS.NPV(CurveModel model, Double fixed_rate) in C:\Users\ALBEC\Defacto Analytics Aps\Gustav Rasmussen - New folder\Visual Studio\ALBEC Repos\dskLibrary\daLib\src\Instruments\Swaps\IRS.cs:line 45_x000D_
   at daLib.Blocks.PortfolioBlock.NPV(CurveModel model) in C:\Users\ALBEC\Defacto Analytics Aps\Gustav Rasmussen - New folder\Visual Studio\ALBEC Repos\dskLibrary\daLib\src\Blocks\Block.cs:line 110_x000D_
   at daAnalyticsExcel.Exposure.ExcelFunctionExposure.daGetPortfolioBlocks(String Portfolio_ID, String CurveModel_ID)_x000D_
   at WrapperType.Wrapped_f19_GetPortfolioBlocks(String , Object[] )</v>
      </c>
    </row>
    <row r="4" spans="2:27" x14ac:dyDescent="0.25">
      <c r="B4" s="10" t="s">
        <v>10</v>
      </c>
      <c r="C4" s="5"/>
      <c r="E4" s="4">
        <f>M4</f>
        <v>0</v>
      </c>
      <c r="F4" s="49">
        <f t="shared" si="0"/>
        <v>0</v>
      </c>
      <c r="G4" s="49">
        <f t="shared" si="0"/>
        <v>0</v>
      </c>
      <c r="H4" s="4">
        <f t="shared" si="0"/>
        <v>0</v>
      </c>
      <c r="I4" s="47">
        <f t="shared" si="0"/>
        <v>0</v>
      </c>
      <c r="J4" s="48">
        <f t="shared" ref="J4:J11" si="2">R4</f>
        <v>0</v>
      </c>
      <c r="K4" s="50">
        <f t="shared" ref="K4:K13" si="3">S4-AA4</f>
        <v>0</v>
      </c>
      <c r="M4" s="4"/>
      <c r="N4" s="49"/>
      <c r="O4" s="49"/>
      <c r="P4" s="4"/>
      <c r="Q4" s="47"/>
      <c r="R4" s="48"/>
      <c r="S4" s="47"/>
      <c r="U4" s="4"/>
      <c r="V4" s="49"/>
      <c r="W4" s="49"/>
      <c r="X4" s="4"/>
      <c r="Y4" s="47"/>
      <c r="Z4" s="48"/>
      <c r="AA4" s="47"/>
    </row>
    <row r="5" spans="2:27" x14ac:dyDescent="0.25">
      <c r="B5" s="10" t="s">
        <v>11</v>
      </c>
      <c r="C5" s="6"/>
      <c r="E5" s="4">
        <f t="shared" ref="E5:E9" si="4">M5</f>
        <v>0</v>
      </c>
      <c r="F5" s="49">
        <f t="shared" ref="F5:F13" si="5">N5</f>
        <v>0</v>
      </c>
      <c r="G5" s="49">
        <f t="shared" ref="G5:G13" si="6">O5</f>
        <v>0</v>
      </c>
      <c r="H5" s="4">
        <f t="shared" ref="H5:H13" si="7">P5</f>
        <v>0</v>
      </c>
      <c r="I5" s="47">
        <f t="shared" ref="I5:I13" si="8">Q5</f>
        <v>0</v>
      </c>
      <c r="J5" s="48">
        <f t="shared" si="2"/>
        <v>0</v>
      </c>
      <c r="K5" s="50">
        <f t="shared" si="3"/>
        <v>0</v>
      </c>
      <c r="M5" s="4"/>
      <c r="N5" s="49"/>
      <c r="O5" s="49"/>
      <c r="P5" s="4"/>
      <c r="Q5" s="47"/>
      <c r="R5" s="48"/>
      <c r="S5" s="47"/>
      <c r="U5" s="4"/>
      <c r="V5" s="49"/>
      <c r="W5" s="49"/>
      <c r="X5" s="4"/>
      <c r="Y5" s="47"/>
      <c r="Z5" s="48"/>
      <c r="AA5" s="47"/>
    </row>
    <row r="6" spans="2:27" x14ac:dyDescent="0.25">
      <c r="E6" s="4">
        <f t="shared" si="4"/>
        <v>0</v>
      </c>
      <c r="F6" s="49">
        <f t="shared" si="5"/>
        <v>0</v>
      </c>
      <c r="G6" s="49">
        <f t="shared" si="6"/>
        <v>0</v>
      </c>
      <c r="H6" s="4">
        <f t="shared" si="7"/>
        <v>0</v>
      </c>
      <c r="I6" s="47">
        <f t="shared" si="8"/>
        <v>0</v>
      </c>
      <c r="J6" s="48">
        <f t="shared" si="2"/>
        <v>0</v>
      </c>
      <c r="K6" s="50">
        <f t="shared" si="3"/>
        <v>0</v>
      </c>
      <c r="M6" s="4"/>
      <c r="N6" s="49"/>
      <c r="O6" s="49"/>
      <c r="P6" s="4"/>
      <c r="Q6" s="47"/>
      <c r="R6" s="48"/>
      <c r="S6" s="47"/>
      <c r="U6" s="4"/>
      <c r="V6" s="49"/>
      <c r="W6" s="49"/>
      <c r="X6" s="4"/>
      <c r="Y6" s="47"/>
      <c r="Z6" s="48"/>
      <c r="AA6" s="47"/>
    </row>
    <row r="7" spans="2:27" x14ac:dyDescent="0.25">
      <c r="E7" s="4">
        <f t="shared" si="4"/>
        <v>0</v>
      </c>
      <c r="F7" s="49">
        <f t="shared" si="5"/>
        <v>0</v>
      </c>
      <c r="G7" s="49">
        <f t="shared" si="6"/>
        <v>0</v>
      </c>
      <c r="H7" s="4">
        <f t="shared" si="7"/>
        <v>0</v>
      </c>
      <c r="I7" s="47">
        <f t="shared" si="8"/>
        <v>0</v>
      </c>
      <c r="J7" s="48">
        <f t="shared" si="2"/>
        <v>0</v>
      </c>
      <c r="K7" s="50">
        <f t="shared" si="3"/>
        <v>0</v>
      </c>
      <c r="M7" s="4"/>
      <c r="N7" s="49"/>
      <c r="O7" s="49"/>
      <c r="P7" s="4"/>
      <c r="Q7" s="47"/>
      <c r="R7" s="48"/>
      <c r="S7" s="47"/>
      <c r="U7" s="4"/>
      <c r="V7" s="49"/>
      <c r="W7" s="49"/>
      <c r="X7" s="4"/>
      <c r="Y7" s="47"/>
      <c r="Z7" s="48"/>
      <c r="AA7" s="47"/>
    </row>
    <row r="8" spans="2:27" x14ac:dyDescent="0.25">
      <c r="B8" s="10" t="s">
        <v>56</v>
      </c>
      <c r="C8" s="10" t="s">
        <v>7</v>
      </c>
      <c r="E8" s="4">
        <f t="shared" si="4"/>
        <v>0</v>
      </c>
      <c r="F8" s="49">
        <f t="shared" si="5"/>
        <v>0</v>
      </c>
      <c r="G8" s="49">
        <f t="shared" si="6"/>
        <v>0</v>
      </c>
      <c r="H8" s="4">
        <f t="shared" si="7"/>
        <v>0</v>
      </c>
      <c r="I8" s="47">
        <f t="shared" si="8"/>
        <v>0</v>
      </c>
      <c r="J8" s="48">
        <f t="shared" si="2"/>
        <v>0</v>
      </c>
      <c r="K8" s="50">
        <f t="shared" si="3"/>
        <v>0</v>
      </c>
      <c r="M8" s="4"/>
      <c r="N8" s="49"/>
      <c r="O8" s="49"/>
      <c r="P8" s="4"/>
      <c r="Q8" s="47"/>
      <c r="R8" s="48"/>
      <c r="S8" s="47"/>
      <c r="U8" s="4"/>
      <c r="V8" s="49"/>
      <c r="W8" s="49"/>
      <c r="X8" s="4"/>
      <c r="Y8" s="47"/>
      <c r="Z8" s="48"/>
      <c r="AA8" s="47"/>
    </row>
    <row r="9" spans="2:27" x14ac:dyDescent="0.25">
      <c r="B9" s="9" t="str" cm="1">
        <f t="array" ref="B9:B10">_xll.daListModelsInMemory()</f>
        <v>eur.rt</v>
      </c>
      <c r="C9" s="21" t="e" cm="1">
        <f t="array" aca="1" ref="C9" ca="1">_xll.daLastCalibrated(B9)</f>
        <v>#NAME?</v>
      </c>
      <c r="E9" s="4">
        <f t="shared" si="4"/>
        <v>0</v>
      </c>
      <c r="F9" s="49">
        <f t="shared" si="5"/>
        <v>0</v>
      </c>
      <c r="G9" s="49">
        <f t="shared" si="6"/>
        <v>0</v>
      </c>
      <c r="H9" s="4">
        <f t="shared" si="7"/>
        <v>0</v>
      </c>
      <c r="I9" s="47">
        <f t="shared" si="8"/>
        <v>0</v>
      </c>
      <c r="J9" s="48">
        <f t="shared" si="2"/>
        <v>0</v>
      </c>
      <c r="K9" s="50">
        <f t="shared" si="3"/>
        <v>0</v>
      </c>
      <c r="M9" s="4"/>
      <c r="N9" s="49"/>
      <c r="O9" s="49"/>
      <c r="P9" s="4"/>
      <c r="Q9" s="47"/>
      <c r="R9" s="48"/>
      <c r="S9" s="47"/>
      <c r="U9" s="4"/>
      <c r="V9" s="49"/>
      <c r="W9" s="49"/>
      <c r="X9" s="4"/>
      <c r="Y9" s="47"/>
      <c r="Z9" s="48"/>
      <c r="AA9" s="47"/>
    </row>
    <row r="10" spans="2:27" x14ac:dyDescent="0.25">
      <c r="B10" s="9" t="str">
        <v>eur.eod</v>
      </c>
      <c r="C10" s="21" t="e" cm="1">
        <f t="array" aca="1" ref="C10" ca="1">_xll.daLastCalibrated(B10)</f>
        <v>#NAME?</v>
      </c>
      <c r="E10" s="4">
        <f t="shared" ref="E10:E13" si="9">M10</f>
        <v>0</v>
      </c>
      <c r="F10" s="49">
        <f t="shared" si="5"/>
        <v>0</v>
      </c>
      <c r="G10" s="49">
        <f t="shared" si="6"/>
        <v>0</v>
      </c>
      <c r="H10" s="4">
        <f t="shared" si="7"/>
        <v>0</v>
      </c>
      <c r="I10" s="47">
        <f t="shared" si="8"/>
        <v>0</v>
      </c>
      <c r="J10" s="48">
        <f t="shared" si="2"/>
        <v>0</v>
      </c>
      <c r="K10" s="50">
        <f t="shared" si="3"/>
        <v>0</v>
      </c>
      <c r="M10" s="4"/>
      <c r="N10" s="49"/>
      <c r="O10" s="49"/>
      <c r="P10" s="4"/>
      <c r="Q10" s="47"/>
      <c r="R10" s="48"/>
      <c r="S10" s="47"/>
      <c r="U10" s="4"/>
      <c r="V10" s="49"/>
      <c r="W10" s="49"/>
      <c r="X10" s="4"/>
      <c r="Y10" s="47"/>
      <c r="Z10" s="48"/>
      <c r="AA10" s="47"/>
    </row>
    <row r="11" spans="2:27" x14ac:dyDescent="0.25">
      <c r="B11" s="9"/>
      <c r="C11" s="21" t="e" cm="1">
        <f t="array" aca="1" ref="C11" ca="1">_xll.daLastCalibrated(B11)</f>
        <v>#NAME?</v>
      </c>
      <c r="E11" s="4">
        <f t="shared" si="9"/>
        <v>0</v>
      </c>
      <c r="F11" s="49">
        <f t="shared" si="5"/>
        <v>0</v>
      </c>
      <c r="G11" s="49">
        <f t="shared" si="6"/>
        <v>0</v>
      </c>
      <c r="H11" s="4">
        <f t="shared" si="7"/>
        <v>0</v>
      </c>
      <c r="I11" s="47">
        <f t="shared" si="8"/>
        <v>0</v>
      </c>
      <c r="J11" s="48">
        <f t="shared" si="2"/>
        <v>0</v>
      </c>
      <c r="K11" s="50">
        <f t="shared" si="3"/>
        <v>0</v>
      </c>
      <c r="M11" s="4"/>
      <c r="N11" s="49"/>
      <c r="O11" s="49"/>
      <c r="P11" s="4"/>
      <c r="Q11" s="47"/>
      <c r="R11" s="48"/>
      <c r="S11" s="47"/>
      <c r="U11" s="4"/>
      <c r="V11" s="49"/>
      <c r="W11" s="49"/>
      <c r="X11" s="4"/>
      <c r="Y11" s="47"/>
      <c r="Z11" s="48"/>
      <c r="AA11" s="47"/>
    </row>
    <row r="12" spans="2:27" x14ac:dyDescent="0.25">
      <c r="B12" s="9"/>
      <c r="C12" s="21" t="e" cm="1">
        <f t="array" aca="1" ref="C12" ca="1">_xll.daLastCalibrated(B12)</f>
        <v>#NAME?</v>
      </c>
      <c r="E12" s="4">
        <f t="shared" si="9"/>
        <v>0</v>
      </c>
      <c r="F12" s="49">
        <f t="shared" si="5"/>
        <v>0</v>
      </c>
      <c r="G12" s="49">
        <f t="shared" si="6"/>
        <v>0</v>
      </c>
      <c r="H12" s="4">
        <f t="shared" si="7"/>
        <v>0</v>
      </c>
      <c r="I12" s="47">
        <f t="shared" si="8"/>
        <v>0</v>
      </c>
      <c r="J12" s="48">
        <f t="shared" ref="J12:J13" si="10">R12</f>
        <v>0</v>
      </c>
      <c r="K12" s="50">
        <f t="shared" si="3"/>
        <v>0</v>
      </c>
      <c r="M12" s="4"/>
      <c r="N12" s="49"/>
      <c r="O12" s="49"/>
      <c r="P12" s="4"/>
      <c r="Q12" s="47"/>
      <c r="R12" s="48"/>
      <c r="S12" s="47"/>
      <c r="U12" s="4"/>
      <c r="V12" s="49"/>
      <c r="W12" s="49"/>
      <c r="X12" s="4"/>
      <c r="Y12" s="47"/>
      <c r="Z12" s="48"/>
      <c r="AA12" s="47"/>
    </row>
    <row r="13" spans="2:27" x14ac:dyDescent="0.25">
      <c r="B13" s="9"/>
      <c r="C13" s="21" t="e" cm="1">
        <f t="array" aca="1" ref="C13" ca="1">_xll.daLastCalibrated(B13)</f>
        <v>#NAME?</v>
      </c>
      <c r="E13" s="4">
        <f t="shared" si="9"/>
        <v>0</v>
      </c>
      <c r="F13" s="49">
        <f t="shared" si="5"/>
        <v>0</v>
      </c>
      <c r="G13" s="49">
        <f t="shared" si="6"/>
        <v>0</v>
      </c>
      <c r="H13" s="4">
        <f t="shared" si="7"/>
        <v>0</v>
      </c>
      <c r="I13" s="47">
        <f t="shared" si="8"/>
        <v>0</v>
      </c>
      <c r="J13" s="48">
        <f t="shared" si="10"/>
        <v>0</v>
      </c>
      <c r="K13" s="50">
        <f t="shared" si="3"/>
        <v>0</v>
      </c>
      <c r="M13" s="4"/>
      <c r="N13" s="49"/>
      <c r="O13" s="49"/>
      <c r="P13" s="4"/>
      <c r="Q13" s="47"/>
      <c r="R13" s="48"/>
      <c r="S13" s="47"/>
      <c r="U13" s="4"/>
      <c r="V13" s="49"/>
      <c r="W13" s="49"/>
      <c r="X13" s="4"/>
      <c r="Y13" s="47"/>
      <c r="Z13" s="48"/>
      <c r="AA13" s="47"/>
    </row>
    <row r="14" spans="2:27" x14ac:dyDescent="0.25">
      <c r="B14" s="9"/>
      <c r="C14" s="21" t="e" cm="1">
        <f t="array" aca="1" ref="C14" ca="1">_xll.daLastCalibrated(B14)</f>
        <v>#NAME?</v>
      </c>
      <c r="E14" s="4">
        <f t="shared" ref="E14:E19" si="11">M14</f>
        <v>0</v>
      </c>
      <c r="F14" s="49">
        <f t="shared" ref="F14:F19" si="12">N14</f>
        <v>0</v>
      </c>
      <c r="G14" s="49">
        <f t="shared" ref="G14:G19" si="13">O14</f>
        <v>0</v>
      </c>
      <c r="H14" s="4">
        <f t="shared" ref="H14:H19" si="14">P14</f>
        <v>0</v>
      </c>
      <c r="I14" s="47">
        <f t="shared" ref="I14:I19" si="15">Q14</f>
        <v>0</v>
      </c>
      <c r="J14" s="48">
        <f t="shared" ref="J14:J19" si="16">R14</f>
        <v>0</v>
      </c>
      <c r="K14" s="50">
        <f t="shared" ref="K14:K19" si="17">S14-AA14</f>
        <v>0</v>
      </c>
      <c r="M14" s="4"/>
      <c r="N14" s="49"/>
      <c r="O14" s="49"/>
      <c r="P14" s="4"/>
      <c r="Q14" s="47"/>
      <c r="R14" s="48"/>
      <c r="S14" s="47"/>
      <c r="U14" s="4"/>
      <c r="V14" s="49"/>
      <c r="W14" s="49"/>
      <c r="X14" s="4"/>
      <c r="Y14" s="47"/>
      <c r="Z14" s="48"/>
      <c r="AA14" s="47"/>
    </row>
    <row r="15" spans="2:27" x14ac:dyDescent="0.25">
      <c r="B15" s="9"/>
      <c r="C15" s="21" t="e" cm="1">
        <f t="array" aca="1" ref="C15" ca="1">_xll.daLastCalibrated(B15)</f>
        <v>#NAME?</v>
      </c>
      <c r="E15" s="4">
        <f t="shared" si="11"/>
        <v>0</v>
      </c>
      <c r="F15" s="49">
        <f t="shared" si="12"/>
        <v>0</v>
      </c>
      <c r="G15" s="49">
        <f t="shared" si="13"/>
        <v>0</v>
      </c>
      <c r="H15" s="4">
        <f t="shared" si="14"/>
        <v>0</v>
      </c>
      <c r="I15" s="47">
        <f t="shared" si="15"/>
        <v>0</v>
      </c>
      <c r="J15" s="48">
        <f t="shared" si="16"/>
        <v>0</v>
      </c>
      <c r="K15" s="50">
        <f t="shared" si="17"/>
        <v>0</v>
      </c>
      <c r="M15" s="4"/>
      <c r="N15" s="49"/>
      <c r="O15" s="49"/>
      <c r="P15" s="4"/>
      <c r="Q15" s="47"/>
      <c r="R15" s="48"/>
      <c r="S15" s="47"/>
      <c r="U15" s="4"/>
      <c r="V15" s="49"/>
      <c r="W15" s="49"/>
      <c r="X15" s="4"/>
      <c r="Y15" s="47"/>
      <c r="Z15" s="48"/>
      <c r="AA15" s="47"/>
    </row>
    <row r="16" spans="2:27" x14ac:dyDescent="0.25">
      <c r="E16" s="4">
        <f t="shared" si="11"/>
        <v>0</v>
      </c>
      <c r="F16" s="49">
        <f t="shared" si="12"/>
        <v>0</v>
      </c>
      <c r="G16" s="49">
        <f t="shared" si="13"/>
        <v>0</v>
      </c>
      <c r="H16" s="4">
        <f t="shared" si="14"/>
        <v>0</v>
      </c>
      <c r="I16" s="47">
        <f t="shared" si="15"/>
        <v>0</v>
      </c>
      <c r="J16" s="48">
        <f t="shared" si="16"/>
        <v>0</v>
      </c>
      <c r="K16" s="50">
        <f t="shared" si="17"/>
        <v>0</v>
      </c>
      <c r="M16" s="4"/>
      <c r="N16" s="49"/>
      <c r="O16" s="49"/>
      <c r="P16" s="4"/>
      <c r="Q16" s="47"/>
      <c r="R16" s="48"/>
      <c r="S16" s="47"/>
      <c r="U16" s="4"/>
      <c r="V16" s="49"/>
      <c r="W16" s="49"/>
      <c r="X16" s="4"/>
      <c r="Y16" s="47"/>
      <c r="Z16" s="48"/>
      <c r="AA16" s="47"/>
    </row>
    <row r="17" spans="2:27" x14ac:dyDescent="0.25">
      <c r="E17" s="4">
        <f t="shared" si="11"/>
        <v>0</v>
      </c>
      <c r="F17" s="49">
        <f t="shared" si="12"/>
        <v>0</v>
      </c>
      <c r="G17" s="49">
        <f t="shared" si="13"/>
        <v>0</v>
      </c>
      <c r="H17" s="4">
        <f t="shared" si="14"/>
        <v>0</v>
      </c>
      <c r="I17" s="47">
        <f t="shared" si="15"/>
        <v>0</v>
      </c>
      <c r="J17" s="48">
        <f t="shared" si="16"/>
        <v>0</v>
      </c>
      <c r="K17" s="50">
        <f t="shared" si="17"/>
        <v>0</v>
      </c>
      <c r="M17" s="4"/>
      <c r="N17" s="49"/>
      <c r="O17" s="49"/>
      <c r="P17" s="4"/>
      <c r="Q17" s="47"/>
      <c r="R17" s="48"/>
      <c r="S17" s="47"/>
      <c r="U17" s="4"/>
      <c r="V17" s="49"/>
      <c r="W17" s="49"/>
      <c r="X17" s="4"/>
      <c r="Y17" s="47"/>
      <c r="Z17" s="48"/>
      <c r="AA17" s="47"/>
    </row>
    <row r="18" spans="2:27" x14ac:dyDescent="0.25">
      <c r="E18" s="4">
        <f t="shared" si="11"/>
        <v>0</v>
      </c>
      <c r="F18" s="49">
        <f t="shared" si="12"/>
        <v>0</v>
      </c>
      <c r="G18" s="49">
        <f t="shared" si="13"/>
        <v>0</v>
      </c>
      <c r="H18" s="4">
        <f t="shared" si="14"/>
        <v>0</v>
      </c>
      <c r="I18" s="47">
        <f t="shared" si="15"/>
        <v>0</v>
      </c>
      <c r="J18" s="48">
        <f t="shared" si="16"/>
        <v>0</v>
      </c>
      <c r="K18" s="50">
        <f t="shared" si="17"/>
        <v>0</v>
      </c>
      <c r="M18" s="4"/>
      <c r="N18" s="49"/>
      <c r="O18" s="49"/>
      <c r="P18" s="4"/>
      <c r="Q18" s="47"/>
      <c r="R18" s="48"/>
      <c r="S18" s="47"/>
      <c r="U18" s="4"/>
      <c r="V18" s="49"/>
      <c r="W18" s="49"/>
      <c r="X18" s="4"/>
      <c r="Y18" s="47"/>
      <c r="Z18" s="48"/>
      <c r="AA18" s="47"/>
    </row>
    <row r="19" spans="2:27" x14ac:dyDescent="0.25">
      <c r="E19" s="4">
        <f t="shared" si="11"/>
        <v>0</v>
      </c>
      <c r="F19" s="49">
        <f t="shared" si="12"/>
        <v>0</v>
      </c>
      <c r="G19" s="49">
        <f t="shared" si="13"/>
        <v>0</v>
      </c>
      <c r="H19" s="4">
        <f t="shared" si="14"/>
        <v>0</v>
      </c>
      <c r="I19" s="47">
        <f t="shared" si="15"/>
        <v>0</v>
      </c>
      <c r="J19" s="48">
        <f t="shared" si="16"/>
        <v>0</v>
      </c>
      <c r="K19" s="50">
        <f t="shared" si="17"/>
        <v>0</v>
      </c>
      <c r="M19" s="4"/>
      <c r="N19" s="49"/>
      <c r="O19" s="49"/>
      <c r="P19" s="4"/>
      <c r="Q19" s="47"/>
      <c r="R19" s="48"/>
      <c r="S19" s="47"/>
      <c r="U19" s="4"/>
      <c r="V19" s="49"/>
      <c r="W19" s="49"/>
      <c r="X19" s="4"/>
      <c r="Y19" s="47"/>
      <c r="Z19" s="48"/>
      <c r="AA19" s="47"/>
    </row>
    <row r="20" spans="2:27" ht="15.75" thickBot="1" x14ac:dyDescent="0.3">
      <c r="E20" s="10" t="s">
        <v>79</v>
      </c>
      <c r="F20" s="51">
        <f>SUM(F23:F56)</f>
        <v>0</v>
      </c>
      <c r="J20" s="10" t="s">
        <v>77</v>
      </c>
      <c r="K20" s="51">
        <f>SUM(K4:K13)</f>
        <v>0</v>
      </c>
    </row>
    <row r="21" spans="2:27" ht="15.75" thickTop="1" x14ac:dyDescent="0.25"/>
    <row r="22" spans="2:27" x14ac:dyDescent="0.25">
      <c r="E22" s="11" t="s">
        <v>78</v>
      </c>
    </row>
    <row r="23" spans="2:27" x14ac:dyDescent="0.25">
      <c r="E23" s="4" t="str" cm="1">
        <f t="array" ref="E23">_xll.daRisk(B27,"EUR.RT")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daLib.Model.CurveModel.EstimateJacobian() in C:\Users\ALBEC\Defacto Analytics Aps\Gustav Rasmussen - New folder\Visual Studio\ALBEC Repos\dskLibrary\daLib\src\Model\CurveModel.cs:line 310_x000D_
   at daAnalyticsExcel.Exposure.ExcelFunctionExposure.daRisk(String Portfolio_ID, String CurveModel_ID)_x000D_
   at WrapperType.Wrapped_f17_Risk(String , Object[] )</v>
      </c>
      <c r="F23" s="50"/>
    </row>
    <row r="24" spans="2:27" x14ac:dyDescent="0.25">
      <c r="E24" s="4"/>
      <c r="F24" s="50"/>
    </row>
    <row r="25" spans="2:27" x14ac:dyDescent="0.25">
      <c r="E25" s="4"/>
      <c r="F25" s="50"/>
    </row>
    <row r="26" spans="2:27" x14ac:dyDescent="0.25">
      <c r="B26" s="10" t="s">
        <v>72</v>
      </c>
      <c r="E26" s="4"/>
      <c r="F26" s="50"/>
    </row>
    <row r="27" spans="2:27" x14ac:dyDescent="0.25">
      <c r="B27" s="9" t="str" cm="1">
        <f t="array" ref="B27">_xll.daListPortfoliosInMemory()</f>
        <v>myswapportfolio</v>
      </c>
      <c r="E27" s="4"/>
      <c r="F27" s="50"/>
    </row>
    <row r="28" spans="2:27" x14ac:dyDescent="0.25">
      <c r="B28" s="9"/>
      <c r="E28" s="4"/>
      <c r="F28" s="50"/>
    </row>
    <row r="29" spans="2:27" x14ac:dyDescent="0.25">
      <c r="B29" s="9"/>
      <c r="E29" s="4"/>
      <c r="F29" s="50"/>
    </row>
    <row r="30" spans="2:27" x14ac:dyDescent="0.25">
      <c r="B30" s="9"/>
      <c r="E30" s="4"/>
      <c r="F30" s="50"/>
    </row>
    <row r="31" spans="2:27" x14ac:dyDescent="0.25">
      <c r="B31" s="9"/>
      <c r="E31" s="4"/>
      <c r="F31" s="50"/>
    </row>
    <row r="32" spans="2:27" x14ac:dyDescent="0.25">
      <c r="B32" s="9"/>
      <c r="E32" s="4"/>
      <c r="F32" s="50"/>
    </row>
    <row r="33" spans="2:6" x14ac:dyDescent="0.25">
      <c r="B33" s="9"/>
      <c r="E33" s="4"/>
      <c r="F33" s="50"/>
    </row>
    <row r="34" spans="2:6" x14ac:dyDescent="0.25">
      <c r="E34" s="4"/>
      <c r="F34" s="50"/>
    </row>
    <row r="35" spans="2:6" x14ac:dyDescent="0.25">
      <c r="E35" s="4"/>
      <c r="F35" s="50"/>
    </row>
    <row r="36" spans="2:6" x14ac:dyDescent="0.25">
      <c r="E36" s="4"/>
      <c r="F36" s="50"/>
    </row>
    <row r="37" spans="2:6" x14ac:dyDescent="0.25">
      <c r="E37" s="4"/>
      <c r="F37" s="50"/>
    </row>
    <row r="38" spans="2:6" x14ac:dyDescent="0.25">
      <c r="E38" s="4"/>
      <c r="F38" s="50"/>
    </row>
    <row r="39" spans="2:6" x14ac:dyDescent="0.25">
      <c r="E39" s="4"/>
      <c r="F39" s="50"/>
    </row>
    <row r="40" spans="2:6" x14ac:dyDescent="0.25">
      <c r="E40" s="4"/>
      <c r="F40" s="50"/>
    </row>
    <row r="41" spans="2:6" x14ac:dyDescent="0.25">
      <c r="E41" s="4"/>
      <c r="F41" s="50"/>
    </row>
    <row r="42" spans="2:6" x14ac:dyDescent="0.25">
      <c r="E42" s="4"/>
      <c r="F42" s="50"/>
    </row>
    <row r="43" spans="2:6" x14ac:dyDescent="0.25">
      <c r="E43" s="4"/>
      <c r="F43" s="50"/>
    </row>
    <row r="44" spans="2:6" x14ac:dyDescent="0.25">
      <c r="E44" s="4"/>
      <c r="F44" s="50"/>
    </row>
    <row r="45" spans="2:6" x14ac:dyDescent="0.25">
      <c r="E45" s="4"/>
      <c r="F45" s="50"/>
    </row>
    <row r="46" spans="2:6" x14ac:dyDescent="0.25">
      <c r="E46" s="4"/>
      <c r="F46" s="50"/>
    </row>
    <row r="47" spans="2:6" x14ac:dyDescent="0.25">
      <c r="E47" s="4"/>
      <c r="F47" s="50"/>
    </row>
    <row r="48" spans="2:6" x14ac:dyDescent="0.25">
      <c r="E48" s="4"/>
      <c r="F48" s="50"/>
    </row>
    <row r="49" spans="5:6" x14ac:dyDescent="0.25">
      <c r="E49" s="4"/>
      <c r="F49" s="50"/>
    </row>
    <row r="50" spans="5:6" x14ac:dyDescent="0.25">
      <c r="E50" s="4"/>
      <c r="F50" s="50"/>
    </row>
    <row r="51" spans="5:6" x14ac:dyDescent="0.25">
      <c r="E51" s="4"/>
      <c r="F51" s="50"/>
    </row>
    <row r="52" spans="5:6" x14ac:dyDescent="0.25">
      <c r="E52" s="4"/>
      <c r="F52" s="50"/>
    </row>
    <row r="53" spans="5:6" x14ac:dyDescent="0.25">
      <c r="E53" s="4"/>
      <c r="F53" s="50"/>
    </row>
    <row r="54" spans="5:6" x14ac:dyDescent="0.25">
      <c r="E54" s="4"/>
      <c r="F54" s="50"/>
    </row>
    <row r="55" spans="5:6" x14ac:dyDescent="0.25">
      <c r="E55" s="4"/>
      <c r="F55" s="50"/>
    </row>
    <row r="56" spans="5:6" x14ac:dyDescent="0.25">
      <c r="E56" s="4"/>
      <c r="F56" s="5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5575-7AE0-4597-A537-5D6A80C3FE7D}">
  <sheetPr codeName="Sheet6"/>
  <dimension ref="A2:U43"/>
  <sheetViews>
    <sheetView zoomScale="90" zoomScaleNormal="90" workbookViewId="0">
      <selection activeCell="O7" sqref="O7"/>
    </sheetView>
  </sheetViews>
  <sheetFormatPr defaultRowHeight="15" x14ac:dyDescent="0.25"/>
  <cols>
    <col min="1" max="1" width="9.140625" style="10"/>
    <col min="2" max="2" width="10.28515625" style="10" customWidth="1"/>
    <col min="3" max="4" width="9.140625" style="10"/>
    <col min="5" max="5" width="12.42578125" style="10" customWidth="1"/>
    <col min="6" max="6" width="15.28515625" style="10" customWidth="1"/>
    <col min="7" max="10" width="11.85546875" style="10" customWidth="1"/>
    <col min="11" max="13" width="9.140625" style="10"/>
    <col min="14" max="14" width="15.85546875" style="10" customWidth="1"/>
    <col min="15" max="15" width="11.5703125" style="10" bestFit="1" customWidth="1"/>
    <col min="16" max="16" width="7.85546875" style="10" bestFit="1" customWidth="1"/>
    <col min="17" max="17" width="8.85546875" style="10" bestFit="1" customWidth="1"/>
    <col min="18" max="18" width="14.28515625" style="10" customWidth="1"/>
    <col min="19" max="16384" width="9.140625" style="10"/>
  </cols>
  <sheetData>
    <row r="2" spans="1:21" x14ac:dyDescent="0.25">
      <c r="B2" s="11" t="s">
        <v>113</v>
      </c>
      <c r="E2" s="10" t="s">
        <v>0</v>
      </c>
      <c r="F2" s="8" t="s">
        <v>84</v>
      </c>
      <c r="N2" s="14" t="s">
        <v>138</v>
      </c>
    </row>
    <row r="3" spans="1:21" x14ac:dyDescent="0.25">
      <c r="N3" s="13" t="s">
        <v>120</v>
      </c>
      <c r="T3" s="8" t="s">
        <v>84</v>
      </c>
    </row>
    <row r="4" spans="1:21" x14ac:dyDescent="0.25">
      <c r="B4" s="10" t="s">
        <v>57</v>
      </c>
      <c r="C4" s="10" t="s">
        <v>58</v>
      </c>
      <c r="E4" s="10" t="s">
        <v>114</v>
      </c>
      <c r="F4" s="10" t="s">
        <v>115</v>
      </c>
      <c r="G4" s="10" t="s">
        <v>116</v>
      </c>
      <c r="H4" s="10" t="s">
        <v>117</v>
      </c>
      <c r="I4" s="10" t="s">
        <v>118</v>
      </c>
      <c r="J4" s="10" t="s">
        <v>119</v>
      </c>
      <c r="O4" s="10" t="s">
        <v>131</v>
      </c>
      <c r="P4" s="10" t="s">
        <v>132</v>
      </c>
      <c r="Q4" s="10" t="s">
        <v>133</v>
      </c>
      <c r="R4" s="10" t="s">
        <v>134</v>
      </c>
      <c r="S4" s="10" t="s">
        <v>136</v>
      </c>
      <c r="T4" s="10" t="s">
        <v>135</v>
      </c>
      <c r="U4" s="10" t="s">
        <v>137</v>
      </c>
    </row>
    <row r="5" spans="1:21" x14ac:dyDescent="0.25">
      <c r="B5" s="10" t="s">
        <v>62</v>
      </c>
      <c r="C5" s="10" t="s">
        <v>112</v>
      </c>
      <c r="D5" s="10" t="str">
        <f>B5</f>
        <v>2b</v>
      </c>
      <c r="E5" s="59" t="str" cm="1">
        <f t="array" ref="E5">_xll.daSwapRate("EUR."&amp;E$4,$B5,$C5,$F$2)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5" s="24" t="e" cm="1">
        <f t="array" ref="F5">($E5-_xll.daSwapRate("EUR."&amp;F$4,$B5,$C5,$F$2))*10000</f>
        <v>#VALUE!</v>
      </c>
      <c r="G5" s="24" t="e" cm="1">
        <f t="array" ref="G5">($E5-_xll.daSwapRate("EUR."&amp;G$4,$B5,$C5,$F$2))*10000</f>
        <v>#VALUE!</v>
      </c>
      <c r="H5" s="24" t="e" cm="1">
        <f t="array" ref="H5">($E5-_xll.daSwapRate("EUR."&amp;H$4,$B5,$C5,$F$2))*10000</f>
        <v>#VALUE!</v>
      </c>
      <c r="I5" s="24" t="e" cm="1">
        <f t="array" ref="I5">($E5-_xll.daSwapRate("EUR."&amp;I$4,$B5,$C5,$F$2))*10000</f>
        <v>#VALUE!</v>
      </c>
      <c r="J5" s="24" t="e" cm="1">
        <f t="array" ref="J5">($E5-_xll.daSwapRate("EUR."&amp;J$4,$B5,$C5,$F$2))*10000</f>
        <v>#VALUE!</v>
      </c>
      <c r="N5" s="10" t="s">
        <v>139</v>
      </c>
      <c r="O5" s="10" t="e" cm="1">
        <f t="array" aca="1" ref="O5" ca="1">BDP($N5&amp;" Corp",O$4)</f>
        <v>#NAME?</v>
      </c>
      <c r="P5" s="10" t="e" cm="1">
        <f t="array" ref="P5" ca="1">_xll.BDP($N5&amp;" Corp",P$4)</f>
        <v>#NAME?</v>
      </c>
      <c r="Q5" s="10" t="e" cm="1">
        <f t="array" ref="Q5" ca="1">_xll.BDP($N5&amp;" Corp",Q$4)</f>
        <v>#NAME?</v>
      </c>
      <c r="R5" s="70" t="e" cm="1">
        <f t="array" ref="R5" ca="1">_xll.BDP($N5&amp;" Corp",R$4)</f>
        <v>#NAME?</v>
      </c>
      <c r="S5" s="69" t="e" cm="1">
        <f t="array" aca="1" ref="S5" ca="1">(_xll.daAnnuity("EUR.RT","2b",DATEVALUE(O6),$T$3)*R6-_xll.daAnnuity("EUR.RT","2b",DATEVALUE(O5),$T$3)*R5)/(_xll.daAnnuity("EUR.RT","2b",DATEVALUE(O6),$T$3)-_xll.daAnnuity("EUR.RT","2b",DATEVALUE(O5),$T$3))</f>
        <v>#NAME?</v>
      </c>
      <c r="T5" s="70" t="e" cm="1">
        <f t="array" aca="1" ref="T5" ca="1">(_xll.daSwapRate("EUR.RT","2b",DATEVALUE(O5),$T$3)*100-R5)*100</f>
        <v>#NAME?</v>
      </c>
      <c r="U5" s="70" t="e" cm="1">
        <f t="array" aca="1" ref="U5" ca="1">(_xll.daAnnuity("EUR.RT","2b",DATEVALUE(O6),$T$3)*T6-_xll.daAnnuity("EUR.RT","2b",DATEVALUE(O5),$T$3)*T5)/(_xll.daAnnuity("EUR.RT","2b",DATEVALUE(O6),$T$3)-_xll.daAnnuity("EUR.RT","2b",DATEVALUE(O5),$T$3))</f>
        <v>#NAME?</v>
      </c>
    </row>
    <row r="6" spans="1:21" x14ac:dyDescent="0.25">
      <c r="A6" s="10">
        <v>1</v>
      </c>
      <c r="B6" s="10" t="str">
        <f>A6&amp;"y"</f>
        <v>1y</v>
      </c>
      <c r="C6" s="10" t="s">
        <v>112</v>
      </c>
      <c r="D6" s="10" t="str">
        <f t="shared" ref="D6:D34" si="0">B6</f>
        <v>1y</v>
      </c>
      <c r="E6" s="59" t="str" cm="1">
        <f t="array" ref="E6">_xll.daSwapRate("EUR."&amp;E$4,$B6,$C6,$F$2)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6" s="24" t="e" cm="1">
        <f t="array" ref="F6">($E6-_xll.daSwapRate("EUR."&amp;F$4,$B6,$C6,$F$2))*10000</f>
        <v>#VALUE!</v>
      </c>
      <c r="G6" s="24" t="e" cm="1">
        <f t="array" ref="G6">($E6-_xll.daSwapRate("EUR."&amp;G$4,$B6,$C6,$F$2))*10000</f>
        <v>#VALUE!</v>
      </c>
      <c r="H6" s="24" t="e" cm="1">
        <f t="array" ref="H6">($E6-_xll.daSwapRate("EUR."&amp;H$4,$B6,$C6,$F$2))*10000</f>
        <v>#VALUE!</v>
      </c>
      <c r="I6" s="24" t="e" cm="1">
        <f t="array" ref="I6">($E6-_xll.daSwapRate("EUR."&amp;I$4,$B6,$C6,$F$2))*10000</f>
        <v>#VALUE!</v>
      </c>
      <c r="J6" s="24" t="e" cm="1">
        <f t="array" ref="J6">($E6-_xll.daSwapRate("EUR."&amp;J$4,$B6,$C6,$F$2))*10000</f>
        <v>#VALUE!</v>
      </c>
      <c r="N6" s="10" t="s">
        <v>140</v>
      </c>
      <c r="O6" s="10" t="e" cm="1">
        <f t="array" aca="1" ref="O6" ca="1">BDP($N6&amp;" Corp",O$4)</f>
        <v>#NAME?</v>
      </c>
      <c r="P6" s="10" t="e" cm="1">
        <f t="array" ref="P6" ca="1">_xll.BDP($N6&amp;" Corp",P$4)</f>
        <v>#NAME?</v>
      </c>
      <c r="Q6" s="10" t="e" cm="1">
        <f t="array" ref="Q6" ca="1">_xll.BDP($N6&amp;" Corp",Q$4)</f>
        <v>#NAME?</v>
      </c>
      <c r="R6" s="70" t="e" cm="1">
        <f t="array" ref="R6" ca="1">_xll.BDP($N6&amp;" Corp",R$4)</f>
        <v>#NAME?</v>
      </c>
      <c r="S6" s="69" t="e" cm="1">
        <f t="array" aca="1" ref="S6" ca="1">(_xll.daAnnuity("EUR.RT","2b",DATEVALUE(O7),$T$3)*R7-_xll.daAnnuity("EUR.RT","2b",DATEVALUE(O6),$T$3)*R6)/(_xll.daAnnuity("EUR.RT","2b",DATEVALUE(O7),$T$3)-_xll.daAnnuity("EUR.RT","2b",DATEVALUE(O6),$T$3))</f>
        <v>#NAME?</v>
      </c>
      <c r="T6" s="70" t="e" cm="1">
        <f t="array" aca="1" ref="T6" ca="1">(_xll.daSwapRate("EUR.RT","2b",DATEVALUE(O6),$T$3)*100-R6)*100</f>
        <v>#NAME?</v>
      </c>
      <c r="U6" s="70" t="e" cm="1">
        <f t="array" aca="1" ref="U6" ca="1">(_xll.daAnnuity("EUR.RT","2b",DATEVALUE(O7),$T$3)*T7-_xll.daAnnuity("EUR.RT","2b",DATEVALUE(O6),$T$3)*T6)/(_xll.daAnnuity("EUR.RT","2b",DATEVALUE(O7),$T$3)-_xll.daAnnuity("EUR.RT","2b",DATEVALUE(O6),$T$3))</f>
        <v>#NAME?</v>
      </c>
    </row>
    <row r="7" spans="1:21" x14ac:dyDescent="0.25">
      <c r="A7" s="10">
        <v>2</v>
      </c>
      <c r="B7" s="10" t="str">
        <f t="shared" ref="B7:B34" si="1">A7&amp;"y"</f>
        <v>2y</v>
      </c>
      <c r="C7" s="10" t="s">
        <v>112</v>
      </c>
      <c r="D7" s="10" t="str">
        <f t="shared" si="0"/>
        <v>2y</v>
      </c>
      <c r="E7" s="59" t="str" cm="1">
        <f t="array" ref="E7">_xll.daSwapRate("EUR."&amp;E$4,$B7,$C7,$F$2)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7" s="24" t="e" cm="1">
        <f t="array" ref="F7">($E7-_xll.daSwapRate("EUR."&amp;F$4,$B7,$C7,$F$2))*10000</f>
        <v>#VALUE!</v>
      </c>
      <c r="G7" s="24" t="e" cm="1">
        <f t="array" ref="G7">($E7-_xll.daSwapRate("EUR."&amp;G$4,$B7,$C7,$F$2))*10000</f>
        <v>#VALUE!</v>
      </c>
      <c r="H7" s="24" t="e" cm="1">
        <f t="array" ref="H7">($E7-_xll.daSwapRate("EUR."&amp;H$4,$B7,$C7,$F$2))*10000</f>
        <v>#VALUE!</v>
      </c>
      <c r="I7" s="24" t="e" cm="1">
        <f t="array" ref="I7">($E7-_xll.daSwapRate("EUR."&amp;I$4,$B7,$C7,$F$2))*10000</f>
        <v>#VALUE!</v>
      </c>
      <c r="J7" s="24" t="e" cm="1">
        <f t="array" ref="J7">($E7-_xll.daSwapRate("EUR."&amp;J$4,$B7,$C7,$F$2))*10000</f>
        <v>#VALUE!</v>
      </c>
      <c r="N7" s="10" t="s">
        <v>141</v>
      </c>
      <c r="O7" s="10" t="e" cm="1">
        <f t="array" aca="1" ref="O7" ca="1">BDP($N7&amp;" Corp",O$4)</f>
        <v>#NAME?</v>
      </c>
      <c r="P7" s="10" t="e" cm="1">
        <f t="array" ref="P7" ca="1">_xll.BDP($N7&amp;" Corp",P$4)</f>
        <v>#NAME?</v>
      </c>
      <c r="Q7" s="10" t="e" cm="1">
        <f t="array" ref="Q7" ca="1">_xll.BDP($N7&amp;" Corp",Q$4)</f>
        <v>#NAME?</v>
      </c>
      <c r="R7" s="70" t="e" cm="1">
        <f t="array" ref="R7" ca="1">_xll.BDP($N7&amp;" Corp",R$4)</f>
        <v>#NAME?</v>
      </c>
      <c r="S7" s="69" t="e" cm="1">
        <f t="array" aca="1" ref="S7" ca="1">(_xll.daAnnuity("EUR.RT","2b",DATEVALUE(O8),$T$3)*R8-_xll.daAnnuity("EUR.RT","2b",DATEVALUE(O7),$T$3)*R7)/(_xll.daAnnuity("EUR.RT","2b",DATEVALUE(O8),$T$3)-_xll.daAnnuity("EUR.RT","2b",DATEVALUE(O7),$T$3))</f>
        <v>#NAME?</v>
      </c>
      <c r="T7" s="70" t="e" cm="1">
        <f t="array" aca="1" ref="T7" ca="1">(_xll.daSwapRate("EUR.RT","2b",DATEVALUE(O7),$T$3)*100-R7)*100</f>
        <v>#NAME?</v>
      </c>
      <c r="U7" s="70" t="e" cm="1">
        <f t="array" aca="1" ref="U7" ca="1">(_xll.daAnnuity("EUR.RT","2b",DATEVALUE(O8),$T$3)*T8-_xll.daAnnuity("EUR.RT","2b",DATEVALUE(O7),$T$3)*T7)/(_xll.daAnnuity("EUR.RT","2b",DATEVALUE(O8),$T$3)-_xll.daAnnuity("EUR.RT","2b",DATEVALUE(O7),$T$3))</f>
        <v>#NAME?</v>
      </c>
    </row>
    <row r="8" spans="1:21" x14ac:dyDescent="0.25">
      <c r="A8" s="10">
        <v>3</v>
      </c>
      <c r="B8" s="10" t="str">
        <f t="shared" si="1"/>
        <v>3y</v>
      </c>
      <c r="C8" s="10" t="s">
        <v>112</v>
      </c>
      <c r="D8" s="10" t="str">
        <f t="shared" si="0"/>
        <v>3y</v>
      </c>
      <c r="E8" s="59" t="str" cm="1">
        <f t="array" ref="E8">_xll.daSwapRate("EUR."&amp;E$4,$B8,$C8,$F$2)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8" s="24" t="e" cm="1">
        <f t="array" ref="F8">($E8-_xll.daSwapRate("EUR."&amp;F$4,$B8,$C8,$F$2))*10000</f>
        <v>#VALUE!</v>
      </c>
      <c r="G8" s="24" t="e" cm="1">
        <f t="array" ref="G8">($E8-_xll.daSwapRate("EUR."&amp;G$4,$B8,$C8,$F$2))*10000</f>
        <v>#VALUE!</v>
      </c>
      <c r="H8" s="24" t="e" cm="1">
        <f t="array" ref="H8">($E8-_xll.daSwapRate("EUR."&amp;H$4,$B8,$C8,$F$2))*10000</f>
        <v>#VALUE!</v>
      </c>
      <c r="I8" s="24" t="e" cm="1">
        <f t="array" ref="I8">($E8-_xll.daSwapRate("EUR."&amp;I$4,$B8,$C8,$F$2))*10000</f>
        <v>#VALUE!</v>
      </c>
      <c r="J8" s="24" t="e" cm="1">
        <f t="array" ref="J8">($E8-_xll.daSwapRate("EUR."&amp;J$4,$B8,$C8,$F$2))*10000</f>
        <v>#VALUE!</v>
      </c>
      <c r="N8" s="10" t="s">
        <v>124</v>
      </c>
      <c r="O8" s="10" t="e" cm="1">
        <f t="array" ref="O8" ca="1">_xll.BDP($N8&amp;" Corp",O$4)</f>
        <v>#NAME?</v>
      </c>
      <c r="P8" s="10" t="e" cm="1">
        <f t="array" ref="P8" ca="1">_xll.BDP($N8&amp;" Corp",P$4)</f>
        <v>#NAME?</v>
      </c>
      <c r="Q8" s="10" t="e" cm="1">
        <f t="array" ref="Q8" ca="1">_xll.BDP($N8&amp;" Corp",Q$4)</f>
        <v>#NAME?</v>
      </c>
      <c r="R8" s="70" t="e" cm="1">
        <f t="array" ref="R8" ca="1">_xll.BDP($N8&amp;" Corp",R$4)</f>
        <v>#NAME?</v>
      </c>
      <c r="S8" s="69" t="e" cm="1">
        <f t="array" aca="1" ref="S8" ca="1">(_xll.daAnnuity("EUR.RT","2b",DATEVALUE(O9),$T$3)*R9-_xll.daAnnuity("EUR.RT","2b",DATEVALUE(O8),$T$3)*R8)/(_xll.daAnnuity("EUR.RT","2b",DATEVALUE(O9),$T$3)-_xll.daAnnuity("EUR.RT","2b",DATEVALUE(O8),$T$3))</f>
        <v>#NAME?</v>
      </c>
      <c r="T8" s="70" t="e" cm="1">
        <f t="array" aca="1" ref="T8" ca="1">(_xll.daSwapRate("EUR.RT","2b",DATEVALUE(O8),$T$3)*100-R8)*100</f>
        <v>#NAME?</v>
      </c>
      <c r="U8" s="70" t="e" cm="1">
        <f t="array" aca="1" ref="U8" ca="1">(_xll.daAnnuity("EUR.RT","2b",DATEVALUE(O9),$T$3)*T9-_xll.daAnnuity("EUR.RT","2b",DATEVALUE(O8),$T$3)*T8)/(_xll.daAnnuity("EUR.RT","2b",DATEVALUE(O9),$T$3)-_xll.daAnnuity("EUR.RT","2b",DATEVALUE(O8),$T$3))</f>
        <v>#NAME?</v>
      </c>
    </row>
    <row r="9" spans="1:21" x14ac:dyDescent="0.25">
      <c r="A9" s="10">
        <v>4</v>
      </c>
      <c r="B9" s="10" t="str">
        <f t="shared" si="1"/>
        <v>4y</v>
      </c>
      <c r="C9" s="10" t="s">
        <v>112</v>
      </c>
      <c r="D9" s="10" t="str">
        <f t="shared" si="0"/>
        <v>4y</v>
      </c>
      <c r="E9" s="59" t="str" cm="1">
        <f t="array" ref="E9">_xll.daSwapRate("EUR."&amp;E$4,$B9,$C9,$F$2)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9" s="24" t="e" cm="1">
        <f t="array" ref="F9">($E9-_xll.daSwapRate("EUR."&amp;F$4,$B9,$C9,$F$2))*10000</f>
        <v>#VALUE!</v>
      </c>
      <c r="G9" s="24" t="e" cm="1">
        <f t="array" ref="G9">($E9-_xll.daSwapRate("EUR."&amp;G$4,$B9,$C9,$F$2))*10000</f>
        <v>#VALUE!</v>
      </c>
      <c r="H9" s="24" t="e" cm="1">
        <f t="array" ref="H9">($E9-_xll.daSwapRate("EUR."&amp;H$4,$B9,$C9,$F$2))*10000</f>
        <v>#VALUE!</v>
      </c>
      <c r="I9" s="24" t="e" cm="1">
        <f t="array" ref="I9">($E9-_xll.daSwapRate("EUR."&amp;I$4,$B9,$C9,$F$2))*10000</f>
        <v>#VALUE!</v>
      </c>
      <c r="J9" s="24" t="e" cm="1">
        <f t="array" ref="J9">($E9-_xll.daSwapRate("EUR."&amp;J$4,$B9,$C9,$F$2))*10000</f>
        <v>#VALUE!</v>
      </c>
      <c r="N9" s="10" t="s">
        <v>125</v>
      </c>
      <c r="O9" s="10" t="e" cm="1">
        <f t="array" aca="1" ref="O9" ca="1">BDP($N9&amp;" Corp",O$4)</f>
        <v>#NAME?</v>
      </c>
      <c r="P9" s="10" t="e" cm="1">
        <f t="array" ref="P9" ca="1">_xll.BDP($N9&amp;" Corp",P$4)</f>
        <v>#NAME?</v>
      </c>
      <c r="Q9" s="10" t="e" cm="1">
        <f t="array" ref="Q9" ca="1">_xll.BDP($N9&amp;" Corp",Q$4)</f>
        <v>#NAME?</v>
      </c>
      <c r="R9" s="70" t="e" cm="1">
        <f t="array" ref="R9" ca="1">_xll.BDP($N9&amp;" Corp",R$4)</f>
        <v>#NAME?</v>
      </c>
      <c r="S9" s="69" t="e" cm="1">
        <f t="array" aca="1" ref="S9" ca="1">(_xll.daAnnuity("EUR.RT","2b",DATEVALUE(O10),$T$3)*R10-_xll.daAnnuity("EUR.RT","2b",DATEVALUE(O9),$T$3)*R9)/(_xll.daAnnuity("EUR.RT","2b",DATEVALUE(O10),$T$3)-_xll.daAnnuity("EUR.RT","2b",DATEVALUE(O9),$T$3))</f>
        <v>#NAME?</v>
      </c>
      <c r="T9" s="70" t="e" cm="1">
        <f t="array" aca="1" ref="T9" ca="1">(_xll.daSwapRate("EUR.RT","2b",DATEVALUE(O9),$T$3)*100-R9)*100</f>
        <v>#NAME?</v>
      </c>
      <c r="U9" s="70" t="e" cm="1">
        <f t="array" aca="1" ref="U9" ca="1">(_xll.daAnnuity("EUR.RT","2b",DATEVALUE(O10),$T$3)*T10-_xll.daAnnuity("EUR.RT","2b",DATEVALUE(O9),$T$3)*T9)/(_xll.daAnnuity("EUR.RT","2b",DATEVALUE(O10),$T$3)-_xll.daAnnuity("EUR.RT","2b",DATEVALUE(O9),$T$3))</f>
        <v>#NAME?</v>
      </c>
    </row>
    <row r="10" spans="1:21" x14ac:dyDescent="0.25">
      <c r="A10" s="10">
        <v>5</v>
      </c>
      <c r="B10" s="10" t="str">
        <f t="shared" si="1"/>
        <v>5y</v>
      </c>
      <c r="C10" s="10" t="s">
        <v>112</v>
      </c>
      <c r="D10" s="10" t="str">
        <f t="shared" si="0"/>
        <v>5y</v>
      </c>
      <c r="E10" s="59" t="str" cm="1">
        <f t="array" ref="E10">_xll.daSwapRate("EUR."&amp;E$4,$B10,$C10,$F$2)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0" s="24" t="e" cm="1">
        <f t="array" ref="F10">($E10-_xll.daSwapRate("EUR."&amp;F$4,$B10,$C10,$F$2))*10000</f>
        <v>#VALUE!</v>
      </c>
      <c r="G10" s="24" t="e" cm="1">
        <f t="array" ref="G10">($E10-_xll.daSwapRate("EUR."&amp;G$4,$B10,$C10,$F$2))*10000</f>
        <v>#VALUE!</v>
      </c>
      <c r="H10" s="24" t="e" cm="1">
        <f t="array" ref="H10">($E10-_xll.daSwapRate("EUR."&amp;H$4,$B10,$C10,$F$2))*10000</f>
        <v>#VALUE!</v>
      </c>
      <c r="I10" s="24" t="e" cm="1">
        <f t="array" ref="I10">($E10-_xll.daSwapRate("EUR."&amp;I$4,$B10,$C10,$F$2))*10000</f>
        <v>#VALUE!</v>
      </c>
      <c r="J10" s="24" t="e" cm="1">
        <f t="array" ref="J10">($E10-_xll.daSwapRate("EUR."&amp;J$4,$B10,$C10,$F$2))*10000</f>
        <v>#VALUE!</v>
      </c>
      <c r="N10" s="10" t="s">
        <v>126</v>
      </c>
      <c r="O10" s="10" t="e" cm="1">
        <f t="array" ref="O10" ca="1">_xll.BDP($N10&amp;" Corp",O$4)</f>
        <v>#NAME?</v>
      </c>
      <c r="P10" s="10" t="e" cm="1">
        <f t="array" ref="P10" ca="1">_xll.BDP($N10&amp;" Corp",P$4)</f>
        <v>#NAME?</v>
      </c>
      <c r="Q10" s="10" t="e" cm="1">
        <f t="array" ref="Q10" ca="1">_xll.BDP($N10&amp;" Corp",Q$4)</f>
        <v>#NAME?</v>
      </c>
      <c r="R10" s="70" t="e" cm="1">
        <f t="array" ref="R10" ca="1">_xll.BDP($N10&amp;" Corp",R$4)</f>
        <v>#NAME?</v>
      </c>
      <c r="S10" s="69" t="e" cm="1">
        <f t="array" aca="1" ref="S10" ca="1">(_xll.daAnnuity("EUR.RT","2b",DATEVALUE(O11),$T$3)*R11-_xll.daAnnuity("EUR.RT","2b",DATEVALUE(O10),$T$3)*R10)/(_xll.daAnnuity("EUR.RT","2b",DATEVALUE(O11),$T$3)-_xll.daAnnuity("EUR.RT","2b",DATEVALUE(O10),$T$3))</f>
        <v>#NAME?</v>
      </c>
      <c r="T10" s="70" t="e" cm="1">
        <f t="array" aca="1" ref="T10" ca="1">(_xll.daSwapRate("EUR.RT","2b",DATEVALUE(O10),$T$3)*100-R10)*100</f>
        <v>#NAME?</v>
      </c>
      <c r="U10" s="70" t="e" cm="1">
        <f t="array" aca="1" ref="U10" ca="1">(_xll.daAnnuity("EUR.RT","2b",DATEVALUE(O11),$T$3)*T11-_xll.daAnnuity("EUR.RT","2b",DATEVALUE(O10),$T$3)*T10)/(_xll.daAnnuity("EUR.RT","2b",DATEVALUE(O11),$T$3)-_xll.daAnnuity("EUR.RT","2b",DATEVALUE(O10),$T$3))</f>
        <v>#NAME?</v>
      </c>
    </row>
    <row r="11" spans="1:21" x14ac:dyDescent="0.25">
      <c r="A11" s="10">
        <v>6</v>
      </c>
      <c r="B11" s="10" t="str">
        <f t="shared" si="1"/>
        <v>6y</v>
      </c>
      <c r="C11" s="10" t="s">
        <v>112</v>
      </c>
      <c r="D11" s="10" t="str">
        <f t="shared" si="0"/>
        <v>6y</v>
      </c>
      <c r="E11" s="59" t="str" cm="1">
        <f t="array" ref="E11">_xll.daSwapRate("EUR."&amp;E$4,$B11,$C11,$F$2)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1" s="24" t="e" cm="1">
        <f t="array" ref="F11">($E11-_xll.daSwapRate("EUR."&amp;F$4,$B11,$C11,$F$2))*10000</f>
        <v>#VALUE!</v>
      </c>
      <c r="G11" s="24" t="e" cm="1">
        <f t="array" ref="G11">($E11-_xll.daSwapRate("EUR."&amp;G$4,$B11,$C11,$F$2))*10000</f>
        <v>#VALUE!</v>
      </c>
      <c r="H11" s="24" t="e" cm="1">
        <f t="array" ref="H11">($E11-_xll.daSwapRate("EUR."&amp;H$4,$B11,$C11,$F$2))*10000</f>
        <v>#VALUE!</v>
      </c>
      <c r="I11" s="24" t="e" cm="1">
        <f t="array" ref="I11">($E11-_xll.daSwapRate("EUR."&amp;I$4,$B11,$C11,$F$2))*10000</f>
        <v>#VALUE!</v>
      </c>
      <c r="J11" s="24" t="e" cm="1">
        <f t="array" ref="J11">($E11-_xll.daSwapRate("EUR."&amp;J$4,$B11,$C11,$F$2))*10000</f>
        <v>#VALUE!</v>
      </c>
      <c r="N11" s="10" t="s">
        <v>127</v>
      </c>
      <c r="O11" s="10" t="e" cm="1">
        <f t="array" ref="O11" ca="1">_xll.BDP($N11&amp;" Corp",O$4)</f>
        <v>#NAME?</v>
      </c>
      <c r="P11" s="10" t="e" cm="1">
        <f t="array" ref="P11" ca="1">_xll.BDP($N11&amp;" Corp",P$4)</f>
        <v>#NAME?</v>
      </c>
      <c r="Q11" s="10" t="e" cm="1">
        <f t="array" ref="Q11" ca="1">_xll.BDP($N11&amp;" Corp",Q$4)</f>
        <v>#NAME?</v>
      </c>
      <c r="R11" s="70" t="e" cm="1">
        <f t="array" ref="R11" ca="1">_xll.BDP($N11&amp;" Corp",R$4)</f>
        <v>#NAME?</v>
      </c>
      <c r="S11" s="69" t="e" cm="1">
        <f t="array" aca="1" ref="S11" ca="1">(_xll.daAnnuity("EUR.RT","2b",DATEVALUE(O12),$T$3)*R12-_xll.daAnnuity("EUR.RT","2b",DATEVALUE(O11),$T$3)*R11)/(_xll.daAnnuity("EUR.RT","2b",DATEVALUE(O12),$T$3)-_xll.daAnnuity("EUR.RT","2b",DATEVALUE(O11),$T$3))</f>
        <v>#NAME?</v>
      </c>
      <c r="T11" s="70" t="e" cm="1">
        <f t="array" aca="1" ref="T11" ca="1">(_xll.daSwapRate("EUR.RT","2b",DATEVALUE(O11),$T$3)*100-R11)*100</f>
        <v>#NAME?</v>
      </c>
      <c r="U11" s="70" t="e" cm="1">
        <f t="array" aca="1" ref="U11" ca="1">(_xll.daAnnuity("EUR.RT","2b",DATEVALUE(O12),$T$3)*T12-_xll.daAnnuity("EUR.RT","2b",DATEVALUE(O11),$T$3)*T11)/(_xll.daAnnuity("EUR.RT","2b",DATEVALUE(O12),$T$3)-_xll.daAnnuity("EUR.RT","2b",DATEVALUE(O11),$T$3))</f>
        <v>#NAME?</v>
      </c>
    </row>
    <row r="12" spans="1:21" x14ac:dyDescent="0.25">
      <c r="A12" s="10">
        <v>7</v>
      </c>
      <c r="B12" s="10" t="str">
        <f t="shared" si="1"/>
        <v>7y</v>
      </c>
      <c r="C12" s="10" t="s">
        <v>112</v>
      </c>
      <c r="D12" s="10" t="str">
        <f t="shared" si="0"/>
        <v>7y</v>
      </c>
      <c r="E12" s="59" t="str" cm="1">
        <f t="array" ref="E12">_xll.daSwapRate("EUR."&amp;E$4,$B12,$C12,$F$2)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2" s="24" t="e" cm="1">
        <f t="array" ref="F12">($E12-_xll.daSwapRate("EUR."&amp;F$4,$B12,$C12,$F$2))*10000</f>
        <v>#VALUE!</v>
      </c>
      <c r="G12" s="24" t="e" cm="1">
        <f t="array" ref="G12">($E12-_xll.daSwapRate("EUR."&amp;G$4,$B12,$C12,$F$2))*10000</f>
        <v>#VALUE!</v>
      </c>
      <c r="H12" s="24" t="e" cm="1">
        <f t="array" ref="H12">($E12-_xll.daSwapRate("EUR."&amp;H$4,$B12,$C12,$F$2))*10000</f>
        <v>#VALUE!</v>
      </c>
      <c r="I12" s="24" t="e" cm="1">
        <f t="array" ref="I12">($E12-_xll.daSwapRate("EUR."&amp;I$4,$B12,$C12,$F$2))*10000</f>
        <v>#VALUE!</v>
      </c>
      <c r="J12" s="24" t="e" cm="1">
        <f t="array" ref="J12">($E12-_xll.daSwapRate("EUR."&amp;J$4,$B12,$C12,$F$2))*10000</f>
        <v>#VALUE!</v>
      </c>
      <c r="N12" s="10" t="s">
        <v>128</v>
      </c>
      <c r="O12" s="10" t="e" cm="1">
        <f t="array" ref="O12" ca="1">_xll.BDP($N12&amp;" Corp",O$4)</f>
        <v>#NAME?</v>
      </c>
      <c r="P12" s="10" t="e" cm="1">
        <f t="array" ref="P12" ca="1">_xll.BDP($N12&amp;" Corp",P$4)</f>
        <v>#NAME?</v>
      </c>
      <c r="Q12" s="10" t="e" cm="1">
        <f t="array" ref="Q12" ca="1">_xll.BDP($N12&amp;" Corp",Q$4)</f>
        <v>#NAME?</v>
      </c>
      <c r="R12" s="70" t="e" cm="1">
        <f t="array" ref="R12" ca="1">_xll.BDP($N12&amp;" Corp",R$4)</f>
        <v>#NAME?</v>
      </c>
      <c r="S12" s="69" t="e" cm="1">
        <f t="array" aca="1" ref="S12" ca="1">(_xll.daAnnuity("EUR.RT","2b",DATEVALUE(O13),$T$3)*R13-_xll.daAnnuity("EUR.RT","2b",DATEVALUE(O12),$T$3)*R12)/(_xll.daAnnuity("EUR.RT","2b",DATEVALUE(O13),$T$3)-_xll.daAnnuity("EUR.RT","2b",DATEVALUE(O12),$T$3))</f>
        <v>#NAME?</v>
      </c>
      <c r="T12" s="70" t="e" cm="1">
        <f t="array" aca="1" ref="T12" ca="1">(_xll.daSwapRate("EUR.RT","2b",DATEVALUE(O12),$T$3)*100-R12)*100</f>
        <v>#NAME?</v>
      </c>
      <c r="U12" s="70" t="e" cm="1">
        <f t="array" aca="1" ref="U12" ca="1">(_xll.daAnnuity("EUR.RT","2b",DATEVALUE(O13),$T$3)*T13-_xll.daAnnuity("EUR.RT","2b",DATEVALUE(O12),$T$3)*T12)/(_xll.daAnnuity("EUR.RT","2b",DATEVALUE(O13),$T$3)-_xll.daAnnuity("EUR.RT","2b",DATEVALUE(O12),$T$3))</f>
        <v>#NAME?</v>
      </c>
    </row>
    <row r="13" spans="1:21" x14ac:dyDescent="0.25">
      <c r="A13" s="10">
        <v>8</v>
      </c>
      <c r="B13" s="10" t="str">
        <f t="shared" si="1"/>
        <v>8y</v>
      </c>
      <c r="C13" s="10" t="s">
        <v>112</v>
      </c>
      <c r="D13" s="10" t="str">
        <f t="shared" si="0"/>
        <v>8y</v>
      </c>
      <c r="E13" s="59" t="str" cm="1">
        <f t="array" ref="E13">_xll.daSwapRate("EUR."&amp;E$4,$B13,$C13,$F$2)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3" s="24" t="e" cm="1">
        <f t="array" ref="F13">($E13-_xll.daSwapRate("EUR."&amp;F$4,$B13,$C13,$F$2))*10000</f>
        <v>#VALUE!</v>
      </c>
      <c r="G13" s="24" t="e" cm="1">
        <f t="array" ref="G13">($E13-_xll.daSwapRate("EUR."&amp;G$4,$B13,$C13,$F$2))*10000</f>
        <v>#VALUE!</v>
      </c>
      <c r="H13" s="24" t="e" cm="1">
        <f t="array" ref="H13">($E13-_xll.daSwapRate("EUR."&amp;H$4,$B13,$C13,$F$2))*10000</f>
        <v>#VALUE!</v>
      </c>
      <c r="I13" s="24" t="e" cm="1">
        <f t="array" ref="I13">($E13-_xll.daSwapRate("EUR."&amp;I$4,$B13,$C13,$F$2))*10000</f>
        <v>#VALUE!</v>
      </c>
      <c r="J13" s="24" t="e" cm="1">
        <f t="array" ref="J13">($E13-_xll.daSwapRate("EUR."&amp;J$4,$B13,$C13,$F$2))*10000</f>
        <v>#VALUE!</v>
      </c>
      <c r="N13" s="10" t="s">
        <v>129</v>
      </c>
      <c r="O13" s="10" t="e" cm="1">
        <f t="array" ref="O13" ca="1">_xll.BDP($N13&amp;" Corp",O$4)</f>
        <v>#NAME?</v>
      </c>
      <c r="P13" s="10" t="e" cm="1">
        <f t="array" ref="P13" ca="1">_xll.BDP($N13&amp;" Corp",P$4)</f>
        <v>#NAME?</v>
      </c>
      <c r="Q13" s="10" t="e" cm="1">
        <f t="array" ref="Q13" ca="1">_xll.BDP($N13&amp;" Corp",Q$4)</f>
        <v>#NAME?</v>
      </c>
      <c r="R13" s="70" t="e" cm="1">
        <f t="array" ref="R13" ca="1">_xll.BDP($N13&amp;" Corp",R$4)</f>
        <v>#NAME?</v>
      </c>
      <c r="S13" s="69" t="e" cm="1">
        <f t="array" aca="1" ref="S13" ca="1">(_xll.daAnnuity("EUR.RT","2b",DATEVALUE(O14),$T$3)*R14-_xll.daAnnuity("EUR.RT","2b",DATEVALUE(O13),$T$3)*R13)/(_xll.daAnnuity("EUR.RT","2b",DATEVALUE(O14),$T$3)-_xll.daAnnuity("EUR.RT","2b",DATEVALUE(O13),$T$3))</f>
        <v>#NAME?</v>
      </c>
      <c r="T13" s="70" t="e" cm="1">
        <f t="array" aca="1" ref="T13" ca="1">(_xll.daSwapRate("EUR.RT","2b",DATEVALUE(O13),$T$3)*100-R13)*100</f>
        <v>#NAME?</v>
      </c>
      <c r="U13" s="70" t="e" cm="1">
        <f t="array" aca="1" ref="U13" ca="1">(_xll.daAnnuity("EUR.RT","2b",DATEVALUE(O14),$T$3)*T14-_xll.daAnnuity("EUR.RT","2b",DATEVALUE(O13),$T$3)*T13)/(_xll.daAnnuity("EUR.RT","2b",DATEVALUE(O14),$T$3)-_xll.daAnnuity("EUR.RT","2b",DATEVALUE(O13),$T$3))</f>
        <v>#NAME?</v>
      </c>
    </row>
    <row r="14" spans="1:21" x14ac:dyDescent="0.25">
      <c r="A14" s="10">
        <v>9</v>
      </c>
      <c r="B14" s="10" t="str">
        <f t="shared" si="1"/>
        <v>9y</v>
      </c>
      <c r="C14" s="10" t="s">
        <v>112</v>
      </c>
      <c r="D14" s="10" t="str">
        <f t="shared" si="0"/>
        <v>9y</v>
      </c>
      <c r="E14" s="59" t="str" cm="1">
        <f t="array" ref="E14">_xll.daSwapRate("EUR."&amp;E$4,$B14,$C14,$F$2)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4" s="24" t="e" cm="1">
        <f t="array" ref="F14">($E14-_xll.daSwapRate("EUR."&amp;F$4,$B14,$C14,$F$2))*10000</f>
        <v>#VALUE!</v>
      </c>
      <c r="G14" s="24" t="e" cm="1">
        <f t="array" ref="G14">($E14-_xll.daSwapRate("EUR."&amp;G$4,$B14,$C14,$F$2))*10000</f>
        <v>#VALUE!</v>
      </c>
      <c r="H14" s="24" t="e" cm="1">
        <f t="array" ref="H14">($E14-_xll.daSwapRate("EUR."&amp;H$4,$B14,$C14,$F$2))*10000</f>
        <v>#VALUE!</v>
      </c>
      <c r="I14" s="24" t="e" cm="1">
        <f t="array" ref="I14">($E14-_xll.daSwapRate("EUR."&amp;I$4,$B14,$C14,$F$2))*10000</f>
        <v>#VALUE!</v>
      </c>
      <c r="J14" s="24" t="e" cm="1">
        <f t="array" ref="J14">($E14-_xll.daSwapRate("EUR."&amp;J$4,$B14,$C14,$F$2))*10000</f>
        <v>#VALUE!</v>
      </c>
      <c r="N14" s="10" t="s">
        <v>130</v>
      </c>
      <c r="O14" s="10" t="e" cm="1">
        <f t="array" ref="O14" ca="1">_xll.BDP($N14&amp;" Corp",O$4)</f>
        <v>#NAME?</v>
      </c>
      <c r="P14" s="10" t="e" cm="1">
        <f t="array" ref="P14" ca="1">_xll.BDP($N14&amp;" Corp",P$4)</f>
        <v>#NAME?</v>
      </c>
      <c r="Q14" s="10" t="e" cm="1">
        <f t="array" ref="Q14" ca="1">_xll.BDP($N14&amp;" Corp",Q$4)</f>
        <v>#NAME?</v>
      </c>
      <c r="R14" s="70" t="e" cm="1">
        <f t="array" ref="R14" ca="1">_xll.BDP($N14&amp;" Corp",R$4)</f>
        <v>#NAME?</v>
      </c>
      <c r="S14" s="69"/>
      <c r="T14" s="70" t="e" cm="1">
        <f t="array" aca="1" ref="T14" ca="1">(_xll.daSwapRate("EUR.RT","2b",DATEVALUE(O14),$T$3)*100-R14)*100</f>
        <v>#NAME?</v>
      </c>
      <c r="U14" s="70"/>
    </row>
    <row r="15" spans="1:21" x14ac:dyDescent="0.25">
      <c r="A15" s="10">
        <v>10</v>
      </c>
      <c r="B15" s="10" t="str">
        <f t="shared" si="1"/>
        <v>10y</v>
      </c>
      <c r="C15" s="10" t="s">
        <v>112</v>
      </c>
      <c r="D15" s="10" t="str">
        <f t="shared" si="0"/>
        <v>10y</v>
      </c>
      <c r="E15" s="59" t="str" cm="1">
        <f t="array" ref="E15">_xll.daSwapRate("EUR."&amp;E$4,$B15,$C15,$F$2)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5" s="24" t="e" cm="1">
        <f t="array" ref="F15">($E15-_xll.daSwapRate("EUR."&amp;F$4,$B15,$C15,$F$2))*10000</f>
        <v>#VALUE!</v>
      </c>
      <c r="G15" s="24" t="e" cm="1">
        <f t="array" ref="G15">($E15-_xll.daSwapRate("EUR."&amp;G$4,$B15,$C15,$F$2))*10000</f>
        <v>#VALUE!</v>
      </c>
      <c r="H15" s="24" t="e" cm="1">
        <f t="array" ref="H15">($E15-_xll.daSwapRate("EUR."&amp;H$4,$B15,$C15,$F$2))*10000</f>
        <v>#VALUE!</v>
      </c>
      <c r="I15" s="24" t="e" cm="1">
        <f t="array" ref="I15">($E15-_xll.daSwapRate("EUR."&amp;I$4,$B15,$C15,$F$2))*10000</f>
        <v>#VALUE!</v>
      </c>
      <c r="J15" s="24" t="e" cm="1">
        <f t="array" ref="J15">($E15-_xll.daSwapRate("EUR."&amp;J$4,$B15,$C15,$F$2))*10000</f>
        <v>#VALUE!</v>
      </c>
    </row>
    <row r="16" spans="1:21" x14ac:dyDescent="0.25">
      <c r="A16" s="10">
        <v>11</v>
      </c>
      <c r="B16" s="10" t="str">
        <f t="shared" si="1"/>
        <v>11y</v>
      </c>
      <c r="C16" s="10" t="s">
        <v>112</v>
      </c>
      <c r="D16" s="10" t="str">
        <f t="shared" si="0"/>
        <v>11y</v>
      </c>
      <c r="E16" s="59" t="str" cm="1">
        <f t="array" ref="E16">_xll.daSwapRate("EUR."&amp;E$4,$B16,$C16,$F$2)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6" s="24" t="e" cm="1">
        <f t="array" ref="F16">($E16-_xll.daSwapRate("EUR."&amp;F$4,$B16,$C16,$F$2))*10000</f>
        <v>#VALUE!</v>
      </c>
      <c r="G16" s="24" t="e" cm="1">
        <f t="array" ref="G16">($E16-_xll.daSwapRate("EUR."&amp;G$4,$B16,$C16,$F$2))*10000</f>
        <v>#VALUE!</v>
      </c>
      <c r="H16" s="24" t="e" cm="1">
        <f t="array" ref="H16">($E16-_xll.daSwapRate("EUR."&amp;H$4,$B16,$C16,$F$2))*10000</f>
        <v>#VALUE!</v>
      </c>
      <c r="I16" s="24" t="e" cm="1">
        <f t="array" ref="I16">($E16-_xll.daSwapRate("EUR."&amp;I$4,$B16,$C16,$F$2))*10000</f>
        <v>#VALUE!</v>
      </c>
      <c r="J16" s="24" t="e" cm="1">
        <f t="array" ref="J16">($E16-_xll.daSwapRate("EUR."&amp;J$4,$B16,$C16,$F$2))*10000</f>
        <v>#VALUE!</v>
      </c>
    </row>
    <row r="17" spans="1:10" x14ac:dyDescent="0.25">
      <c r="A17" s="10">
        <v>12</v>
      </c>
      <c r="B17" s="10" t="str">
        <f t="shared" si="1"/>
        <v>12y</v>
      </c>
      <c r="C17" s="10" t="s">
        <v>112</v>
      </c>
      <c r="D17" s="10" t="str">
        <f t="shared" si="0"/>
        <v>12y</v>
      </c>
      <c r="E17" s="59" t="str" cm="1">
        <f t="array" ref="E17">_xll.daSwapRate("EUR."&amp;E$4,$B17,$C17,$F$2)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7" s="24" t="e" cm="1">
        <f t="array" ref="F17">($E17-_xll.daSwapRate("EUR."&amp;F$4,$B17,$C17,$F$2))*10000</f>
        <v>#VALUE!</v>
      </c>
      <c r="G17" s="24" t="e" cm="1">
        <f t="array" ref="G17">($E17-_xll.daSwapRate("EUR."&amp;G$4,$B17,$C17,$F$2))*10000</f>
        <v>#VALUE!</v>
      </c>
      <c r="H17" s="24" t="e" cm="1">
        <f t="array" ref="H17">($E17-_xll.daSwapRate("EUR."&amp;H$4,$B17,$C17,$F$2))*10000</f>
        <v>#VALUE!</v>
      </c>
      <c r="I17" s="24" t="e" cm="1">
        <f t="array" ref="I17">($E17-_xll.daSwapRate("EUR."&amp;I$4,$B17,$C17,$F$2))*10000</f>
        <v>#VALUE!</v>
      </c>
      <c r="J17" s="24" t="e" cm="1">
        <f t="array" ref="J17">($E17-_xll.daSwapRate("EUR."&amp;J$4,$B17,$C17,$F$2))*10000</f>
        <v>#VALUE!</v>
      </c>
    </row>
    <row r="18" spans="1:10" x14ac:dyDescent="0.25">
      <c r="A18" s="10">
        <v>13</v>
      </c>
      <c r="B18" s="10" t="str">
        <f t="shared" si="1"/>
        <v>13y</v>
      </c>
      <c r="C18" s="10" t="s">
        <v>112</v>
      </c>
      <c r="D18" s="10" t="str">
        <f t="shared" si="0"/>
        <v>13y</v>
      </c>
      <c r="E18" s="59" t="str" cm="1">
        <f t="array" ref="E18">_xll.daSwapRate("EUR."&amp;E$4,$B18,$C18,$F$2)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8" s="24" t="e" cm="1">
        <f t="array" ref="F18">($E18-_xll.daSwapRate("EUR."&amp;F$4,$B18,$C18,$F$2))*10000</f>
        <v>#VALUE!</v>
      </c>
      <c r="G18" s="24" t="e" cm="1">
        <f t="array" ref="G18">($E18-_xll.daSwapRate("EUR."&amp;G$4,$B18,$C18,$F$2))*10000</f>
        <v>#VALUE!</v>
      </c>
      <c r="H18" s="24" t="e" cm="1">
        <f t="array" ref="H18">($E18-_xll.daSwapRate("EUR."&amp;H$4,$B18,$C18,$F$2))*10000</f>
        <v>#VALUE!</v>
      </c>
      <c r="I18" s="24" t="e" cm="1">
        <f t="array" ref="I18">($E18-_xll.daSwapRate("EUR."&amp;I$4,$B18,$C18,$F$2))*10000</f>
        <v>#VALUE!</v>
      </c>
      <c r="J18" s="24" t="e" cm="1">
        <f t="array" ref="J18">($E18-_xll.daSwapRate("EUR."&amp;J$4,$B18,$C18,$F$2))*10000</f>
        <v>#VALUE!</v>
      </c>
    </row>
    <row r="19" spans="1:10" x14ac:dyDescent="0.25">
      <c r="A19" s="10">
        <v>14</v>
      </c>
      <c r="B19" s="10" t="str">
        <f t="shared" si="1"/>
        <v>14y</v>
      </c>
      <c r="C19" s="10" t="s">
        <v>112</v>
      </c>
      <c r="D19" s="10" t="str">
        <f t="shared" si="0"/>
        <v>14y</v>
      </c>
      <c r="E19" s="59" t="str" cm="1">
        <f t="array" ref="E19">_xll.daSwapRate("EUR."&amp;E$4,$B19,$C19,$F$2)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9" s="24" t="e" cm="1">
        <f t="array" ref="F19">($E19-_xll.daSwapRate("EUR."&amp;F$4,$B19,$C19,$F$2))*10000</f>
        <v>#VALUE!</v>
      </c>
      <c r="G19" s="24" t="e" cm="1">
        <f t="array" ref="G19">($E19-_xll.daSwapRate("EUR."&amp;G$4,$B19,$C19,$F$2))*10000</f>
        <v>#VALUE!</v>
      </c>
      <c r="H19" s="24" t="e" cm="1">
        <f t="array" ref="H19">($E19-_xll.daSwapRate("EUR."&amp;H$4,$B19,$C19,$F$2))*10000</f>
        <v>#VALUE!</v>
      </c>
      <c r="I19" s="24" t="e" cm="1">
        <f t="array" ref="I19">($E19-_xll.daSwapRate("EUR."&amp;I$4,$B19,$C19,$F$2))*10000</f>
        <v>#VALUE!</v>
      </c>
      <c r="J19" s="24" t="e" cm="1">
        <f t="array" ref="J19">($E19-_xll.daSwapRate("EUR."&amp;J$4,$B19,$C19,$F$2))*10000</f>
        <v>#VALUE!</v>
      </c>
    </row>
    <row r="20" spans="1:10" x14ac:dyDescent="0.25">
      <c r="A20" s="10">
        <v>15</v>
      </c>
      <c r="B20" s="10" t="str">
        <f t="shared" si="1"/>
        <v>15y</v>
      </c>
      <c r="C20" s="10" t="s">
        <v>112</v>
      </c>
      <c r="D20" s="10" t="str">
        <f t="shared" si="0"/>
        <v>15y</v>
      </c>
      <c r="E20" s="59" t="str" cm="1">
        <f t="array" ref="E20">_xll.daSwapRate("EUR."&amp;E$4,$B20,$C20,$F$2)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0" s="24" t="e" cm="1">
        <f t="array" ref="F20">($E20-_xll.daSwapRate("EUR."&amp;F$4,$B20,$C20,$F$2))*10000</f>
        <v>#VALUE!</v>
      </c>
      <c r="G20" s="24" t="e" cm="1">
        <f t="array" ref="G20">($E20-_xll.daSwapRate("EUR."&amp;G$4,$B20,$C20,$F$2))*10000</f>
        <v>#VALUE!</v>
      </c>
      <c r="H20" s="24" t="e" cm="1">
        <f t="array" ref="H20">($E20-_xll.daSwapRate("EUR."&amp;H$4,$B20,$C20,$F$2))*10000</f>
        <v>#VALUE!</v>
      </c>
      <c r="I20" s="24" t="e" cm="1">
        <f t="array" ref="I20">($E20-_xll.daSwapRate("EUR."&amp;I$4,$B20,$C20,$F$2))*10000</f>
        <v>#VALUE!</v>
      </c>
      <c r="J20" s="24" t="e" cm="1">
        <f t="array" ref="J20">($E20-_xll.daSwapRate("EUR."&amp;J$4,$B20,$C20,$F$2))*10000</f>
        <v>#VALUE!</v>
      </c>
    </row>
    <row r="21" spans="1:10" x14ac:dyDescent="0.25">
      <c r="A21" s="10">
        <v>16</v>
      </c>
      <c r="B21" s="10" t="str">
        <f t="shared" si="1"/>
        <v>16y</v>
      </c>
      <c r="C21" s="10" t="s">
        <v>112</v>
      </c>
      <c r="D21" s="10" t="str">
        <f t="shared" si="0"/>
        <v>16y</v>
      </c>
      <c r="E21" s="59" t="str" cm="1">
        <f t="array" ref="E21">_xll.daSwapRate("EUR."&amp;E$4,$B21,$C21,$F$2)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1" s="24" t="e" cm="1">
        <f t="array" ref="F21">($E21-_xll.daSwapRate("EUR."&amp;F$4,$B21,$C21,$F$2))*10000</f>
        <v>#VALUE!</v>
      </c>
      <c r="G21" s="24" t="e" cm="1">
        <f t="array" ref="G21">($E21-_xll.daSwapRate("EUR."&amp;G$4,$B21,$C21,$F$2))*10000</f>
        <v>#VALUE!</v>
      </c>
      <c r="H21" s="24" t="e" cm="1">
        <f t="array" ref="H21">($E21-_xll.daSwapRate("EUR."&amp;H$4,$B21,$C21,$F$2))*10000</f>
        <v>#VALUE!</v>
      </c>
      <c r="I21" s="24" t="e" cm="1">
        <f t="array" ref="I21">($E21-_xll.daSwapRate("EUR."&amp;I$4,$B21,$C21,$F$2))*10000</f>
        <v>#VALUE!</v>
      </c>
      <c r="J21" s="24" t="e" cm="1">
        <f t="array" ref="J21">($E21-_xll.daSwapRate("EUR."&amp;J$4,$B21,$C21,$F$2))*10000</f>
        <v>#VALUE!</v>
      </c>
    </row>
    <row r="22" spans="1:10" x14ac:dyDescent="0.25">
      <c r="A22" s="10">
        <v>17</v>
      </c>
      <c r="B22" s="10" t="str">
        <f t="shared" si="1"/>
        <v>17y</v>
      </c>
      <c r="C22" s="10" t="s">
        <v>112</v>
      </c>
      <c r="D22" s="10" t="str">
        <f t="shared" si="0"/>
        <v>17y</v>
      </c>
      <c r="E22" s="59" t="str" cm="1">
        <f t="array" ref="E22">_xll.daSwapRate("EUR."&amp;E$4,$B22,$C22,$F$2)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2" s="24" t="e" cm="1">
        <f t="array" ref="F22">($E22-_xll.daSwapRate("EUR."&amp;F$4,$B22,$C22,$F$2))*10000</f>
        <v>#VALUE!</v>
      </c>
      <c r="G22" s="24" t="e" cm="1">
        <f t="array" ref="G22">($E22-_xll.daSwapRate("EUR."&amp;G$4,$B22,$C22,$F$2))*10000</f>
        <v>#VALUE!</v>
      </c>
      <c r="H22" s="24" t="e" cm="1">
        <f t="array" ref="H22">($E22-_xll.daSwapRate("EUR."&amp;H$4,$B22,$C22,$F$2))*10000</f>
        <v>#VALUE!</v>
      </c>
      <c r="I22" s="24" t="e" cm="1">
        <f t="array" ref="I22">($E22-_xll.daSwapRate("EUR."&amp;I$4,$B22,$C22,$F$2))*10000</f>
        <v>#VALUE!</v>
      </c>
      <c r="J22" s="24" t="e" cm="1">
        <f t="array" ref="J22">($E22-_xll.daSwapRate("EUR."&amp;J$4,$B22,$C22,$F$2))*10000</f>
        <v>#VALUE!</v>
      </c>
    </row>
    <row r="23" spans="1:10" x14ac:dyDescent="0.25">
      <c r="A23" s="10">
        <v>18</v>
      </c>
      <c r="B23" s="10" t="str">
        <f t="shared" si="1"/>
        <v>18y</v>
      </c>
      <c r="C23" s="10" t="s">
        <v>112</v>
      </c>
      <c r="D23" s="10" t="str">
        <f t="shared" si="0"/>
        <v>18y</v>
      </c>
      <c r="E23" s="59" t="str" cm="1">
        <f t="array" ref="E23">_xll.daSwapRate("EUR."&amp;E$4,$B23,$C23,$F$2)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3" s="24" t="e" cm="1">
        <f t="array" ref="F23">($E23-_xll.daSwapRate("EUR."&amp;F$4,$B23,$C23,$F$2))*10000</f>
        <v>#VALUE!</v>
      </c>
      <c r="G23" s="24" t="e" cm="1">
        <f t="array" ref="G23">($E23-_xll.daSwapRate("EUR."&amp;G$4,$B23,$C23,$F$2))*10000</f>
        <v>#VALUE!</v>
      </c>
      <c r="H23" s="24" t="e" cm="1">
        <f t="array" ref="H23">($E23-_xll.daSwapRate("EUR."&amp;H$4,$B23,$C23,$F$2))*10000</f>
        <v>#VALUE!</v>
      </c>
      <c r="I23" s="24" t="e" cm="1">
        <f t="array" ref="I23">($E23-_xll.daSwapRate("EUR."&amp;I$4,$B23,$C23,$F$2))*10000</f>
        <v>#VALUE!</v>
      </c>
      <c r="J23" s="24" t="e" cm="1">
        <f t="array" ref="J23">($E23-_xll.daSwapRate("EUR."&amp;J$4,$B23,$C23,$F$2))*10000</f>
        <v>#VALUE!</v>
      </c>
    </row>
    <row r="24" spans="1:10" x14ac:dyDescent="0.25">
      <c r="A24" s="10">
        <v>19</v>
      </c>
      <c r="B24" s="10" t="str">
        <f t="shared" si="1"/>
        <v>19y</v>
      </c>
      <c r="C24" s="10" t="s">
        <v>112</v>
      </c>
      <c r="D24" s="10" t="str">
        <f t="shared" si="0"/>
        <v>19y</v>
      </c>
      <c r="E24" s="59" t="str" cm="1">
        <f t="array" ref="E24">_xll.daSwapRate("EUR."&amp;E$4,$B24,$C24,$F$2)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4" s="24" t="e" cm="1">
        <f t="array" ref="F24">($E24-_xll.daSwapRate("EUR."&amp;F$4,$B24,$C24,$F$2))*10000</f>
        <v>#VALUE!</v>
      </c>
      <c r="G24" s="24" t="e" cm="1">
        <f t="array" ref="G24">($E24-_xll.daSwapRate("EUR."&amp;G$4,$B24,$C24,$F$2))*10000</f>
        <v>#VALUE!</v>
      </c>
      <c r="H24" s="24" t="e" cm="1">
        <f t="array" ref="H24">($E24-_xll.daSwapRate("EUR."&amp;H$4,$B24,$C24,$F$2))*10000</f>
        <v>#VALUE!</v>
      </c>
      <c r="I24" s="24" t="e" cm="1">
        <f t="array" ref="I24">($E24-_xll.daSwapRate("EUR."&amp;I$4,$B24,$C24,$F$2))*10000</f>
        <v>#VALUE!</v>
      </c>
      <c r="J24" s="24" t="e" cm="1">
        <f t="array" ref="J24">($E24-_xll.daSwapRate("EUR."&amp;J$4,$B24,$C24,$F$2))*10000</f>
        <v>#VALUE!</v>
      </c>
    </row>
    <row r="25" spans="1:10" x14ac:dyDescent="0.25">
      <c r="A25" s="10">
        <v>20</v>
      </c>
      <c r="B25" s="10" t="str">
        <f t="shared" si="1"/>
        <v>20y</v>
      </c>
      <c r="C25" s="10" t="s">
        <v>112</v>
      </c>
      <c r="D25" s="10" t="str">
        <f t="shared" si="0"/>
        <v>20y</v>
      </c>
      <c r="E25" s="59" t="str" cm="1">
        <f t="array" ref="E25">_xll.daSwapRate("EUR."&amp;E$4,$B25,$C25,$F$2)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5" s="24" t="e" cm="1">
        <f t="array" ref="F25">($E25-_xll.daSwapRate("EUR."&amp;F$4,$B25,$C25,$F$2))*10000</f>
        <v>#VALUE!</v>
      </c>
      <c r="G25" s="24" t="e" cm="1">
        <f t="array" ref="G25">($E25-_xll.daSwapRate("EUR."&amp;G$4,$B25,$C25,$F$2))*10000</f>
        <v>#VALUE!</v>
      </c>
      <c r="H25" s="24" t="e" cm="1">
        <f t="array" ref="H25">($E25-_xll.daSwapRate("EUR."&amp;H$4,$B25,$C25,$F$2))*10000</f>
        <v>#VALUE!</v>
      </c>
      <c r="I25" s="24" t="e" cm="1">
        <f t="array" ref="I25">($E25-_xll.daSwapRate("EUR."&amp;I$4,$B25,$C25,$F$2))*10000</f>
        <v>#VALUE!</v>
      </c>
      <c r="J25" s="24" t="e" cm="1">
        <f t="array" ref="J25">($E25-_xll.daSwapRate("EUR."&amp;J$4,$B25,$C25,$F$2))*10000</f>
        <v>#VALUE!</v>
      </c>
    </row>
    <row r="26" spans="1:10" x14ac:dyDescent="0.25">
      <c r="A26" s="10">
        <v>21</v>
      </c>
      <c r="B26" s="10" t="str">
        <f t="shared" si="1"/>
        <v>21y</v>
      </c>
      <c r="C26" s="10" t="s">
        <v>112</v>
      </c>
      <c r="D26" s="10" t="str">
        <f t="shared" si="0"/>
        <v>21y</v>
      </c>
      <c r="E26" s="59" t="str" cm="1">
        <f t="array" ref="E26">_xll.daSwapRate("EUR."&amp;E$4,$B26,$C26,$F$2)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6" s="24" t="e" cm="1">
        <f t="array" ref="F26">($E26-_xll.daSwapRate("EUR."&amp;F$4,$B26,$C26,$F$2))*10000</f>
        <v>#VALUE!</v>
      </c>
      <c r="G26" s="24" t="e" cm="1">
        <f t="array" ref="G26">($E26-_xll.daSwapRate("EUR."&amp;G$4,$B26,$C26,$F$2))*10000</f>
        <v>#VALUE!</v>
      </c>
      <c r="H26" s="24" t="e" cm="1">
        <f t="array" ref="H26">($E26-_xll.daSwapRate("EUR."&amp;H$4,$B26,$C26,$F$2))*10000</f>
        <v>#VALUE!</v>
      </c>
      <c r="I26" s="24" t="e" cm="1">
        <f t="array" ref="I26">($E26-_xll.daSwapRate("EUR."&amp;I$4,$B26,$C26,$F$2))*10000</f>
        <v>#VALUE!</v>
      </c>
      <c r="J26" s="24" t="e" cm="1">
        <f t="array" ref="J26">($E26-_xll.daSwapRate("EUR."&amp;J$4,$B26,$C26,$F$2))*10000</f>
        <v>#VALUE!</v>
      </c>
    </row>
    <row r="27" spans="1:10" x14ac:dyDescent="0.25">
      <c r="A27" s="10">
        <v>22</v>
      </c>
      <c r="B27" s="10" t="str">
        <f t="shared" si="1"/>
        <v>22y</v>
      </c>
      <c r="C27" s="10" t="s">
        <v>112</v>
      </c>
      <c r="D27" s="10" t="str">
        <f t="shared" si="0"/>
        <v>22y</v>
      </c>
      <c r="E27" s="59" t="str" cm="1">
        <f t="array" ref="E27">_xll.daSwapRate("EUR."&amp;E$4,$B27,$C27,$F$2)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7" s="24" t="e" cm="1">
        <f t="array" ref="F27">($E27-_xll.daSwapRate("EUR."&amp;F$4,$B27,$C27,$F$2))*10000</f>
        <v>#VALUE!</v>
      </c>
      <c r="G27" s="24" t="e" cm="1">
        <f t="array" ref="G27">($E27-_xll.daSwapRate("EUR."&amp;G$4,$B27,$C27,$F$2))*10000</f>
        <v>#VALUE!</v>
      </c>
      <c r="H27" s="24" t="e" cm="1">
        <f t="array" ref="H27">($E27-_xll.daSwapRate("EUR."&amp;H$4,$B27,$C27,$F$2))*10000</f>
        <v>#VALUE!</v>
      </c>
      <c r="I27" s="24" t="e" cm="1">
        <f t="array" ref="I27">($E27-_xll.daSwapRate("EUR."&amp;I$4,$B27,$C27,$F$2))*10000</f>
        <v>#VALUE!</v>
      </c>
      <c r="J27" s="24" t="e" cm="1">
        <f t="array" ref="J27">($E27-_xll.daSwapRate("EUR."&amp;J$4,$B27,$C27,$F$2))*10000</f>
        <v>#VALUE!</v>
      </c>
    </row>
    <row r="28" spans="1:10" x14ac:dyDescent="0.25">
      <c r="A28" s="10">
        <v>23</v>
      </c>
      <c r="B28" s="10" t="str">
        <f t="shared" si="1"/>
        <v>23y</v>
      </c>
      <c r="C28" s="10" t="s">
        <v>112</v>
      </c>
      <c r="D28" s="10" t="str">
        <f t="shared" si="0"/>
        <v>23y</v>
      </c>
      <c r="E28" s="59" t="str" cm="1">
        <f t="array" ref="E28">_xll.daSwapRate("EUR."&amp;E$4,$B28,$C28,$F$2)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8" s="24" t="e" cm="1">
        <f t="array" ref="F28">($E28-_xll.daSwapRate("EUR."&amp;F$4,$B28,$C28,$F$2))*10000</f>
        <v>#VALUE!</v>
      </c>
      <c r="G28" s="24" t="e" cm="1">
        <f t="array" ref="G28">($E28-_xll.daSwapRate("EUR."&amp;G$4,$B28,$C28,$F$2))*10000</f>
        <v>#VALUE!</v>
      </c>
      <c r="H28" s="24" t="e" cm="1">
        <f t="array" ref="H28">($E28-_xll.daSwapRate("EUR."&amp;H$4,$B28,$C28,$F$2))*10000</f>
        <v>#VALUE!</v>
      </c>
      <c r="I28" s="24" t="e" cm="1">
        <f t="array" ref="I28">($E28-_xll.daSwapRate("EUR."&amp;I$4,$B28,$C28,$F$2))*10000</f>
        <v>#VALUE!</v>
      </c>
      <c r="J28" s="24" t="e" cm="1">
        <f t="array" ref="J28">($E28-_xll.daSwapRate("EUR."&amp;J$4,$B28,$C28,$F$2))*10000</f>
        <v>#VALUE!</v>
      </c>
    </row>
    <row r="29" spans="1:10" x14ac:dyDescent="0.25">
      <c r="A29" s="10">
        <v>24</v>
      </c>
      <c r="B29" s="10" t="str">
        <f t="shared" si="1"/>
        <v>24y</v>
      </c>
      <c r="C29" s="10" t="s">
        <v>112</v>
      </c>
      <c r="D29" s="10" t="str">
        <f t="shared" si="0"/>
        <v>24y</v>
      </c>
      <c r="E29" s="59" t="str" cm="1">
        <f t="array" ref="E29">_xll.daSwapRate("EUR."&amp;E$4,$B29,$C29,$F$2)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9" s="24" t="e" cm="1">
        <f t="array" ref="F29">($E29-_xll.daSwapRate("EUR."&amp;F$4,$B29,$C29,$F$2))*10000</f>
        <v>#VALUE!</v>
      </c>
      <c r="G29" s="24" t="e" cm="1">
        <f t="array" ref="G29">($E29-_xll.daSwapRate("EUR."&amp;G$4,$B29,$C29,$F$2))*10000</f>
        <v>#VALUE!</v>
      </c>
      <c r="H29" s="24" t="e" cm="1">
        <f t="array" ref="H29">($E29-_xll.daSwapRate("EUR."&amp;H$4,$B29,$C29,$F$2))*10000</f>
        <v>#VALUE!</v>
      </c>
      <c r="I29" s="24" t="e" cm="1">
        <f t="array" ref="I29">($E29-_xll.daSwapRate("EUR."&amp;I$4,$B29,$C29,$F$2))*10000</f>
        <v>#VALUE!</v>
      </c>
      <c r="J29" s="24" t="e" cm="1">
        <f t="array" ref="J29">($E29-_xll.daSwapRate("EUR."&amp;J$4,$B29,$C29,$F$2))*10000</f>
        <v>#VALUE!</v>
      </c>
    </row>
    <row r="30" spans="1:10" x14ac:dyDescent="0.25">
      <c r="A30" s="10">
        <v>25</v>
      </c>
      <c r="B30" s="10" t="str">
        <f t="shared" si="1"/>
        <v>25y</v>
      </c>
      <c r="C30" s="10" t="s">
        <v>112</v>
      </c>
      <c r="D30" s="10" t="str">
        <f t="shared" si="0"/>
        <v>25y</v>
      </c>
      <c r="E30" s="59" t="str" cm="1">
        <f t="array" ref="E30">_xll.daSwapRate("EUR."&amp;E$4,$B30,$C30,$F$2)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30" s="24" t="e" cm="1">
        <f t="array" ref="F30">($E30-_xll.daSwapRate("EUR."&amp;F$4,$B30,$C30,$F$2))*10000</f>
        <v>#VALUE!</v>
      </c>
      <c r="G30" s="24" t="e" cm="1">
        <f t="array" ref="G30">($E30-_xll.daSwapRate("EUR."&amp;G$4,$B30,$C30,$F$2))*10000</f>
        <v>#VALUE!</v>
      </c>
      <c r="H30" s="24" t="e" cm="1">
        <f t="array" ref="H30">($E30-_xll.daSwapRate("EUR."&amp;H$4,$B30,$C30,$F$2))*10000</f>
        <v>#VALUE!</v>
      </c>
      <c r="I30" s="24" t="e" cm="1">
        <f t="array" ref="I30">($E30-_xll.daSwapRate("EUR."&amp;I$4,$B30,$C30,$F$2))*10000</f>
        <v>#VALUE!</v>
      </c>
      <c r="J30" s="24" t="e" cm="1">
        <f t="array" ref="J30">($E30-_xll.daSwapRate("EUR."&amp;J$4,$B30,$C30,$F$2))*10000</f>
        <v>#VALUE!</v>
      </c>
    </row>
    <row r="31" spans="1:10" x14ac:dyDescent="0.25">
      <c r="A31" s="10">
        <v>26</v>
      </c>
      <c r="B31" s="10" t="str">
        <f t="shared" si="1"/>
        <v>26y</v>
      </c>
      <c r="C31" s="10" t="s">
        <v>112</v>
      </c>
      <c r="D31" s="10" t="str">
        <f t="shared" si="0"/>
        <v>26y</v>
      </c>
      <c r="E31" s="59" t="str" cm="1">
        <f t="array" ref="E31">_xll.daSwapRate("EUR."&amp;E$4,$B31,$C31,$F$2)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31" s="24" t="e" cm="1">
        <f t="array" ref="F31">($E31-_xll.daSwapRate("EUR."&amp;F$4,$B31,$C31,$F$2))*10000</f>
        <v>#VALUE!</v>
      </c>
      <c r="G31" s="24" t="e" cm="1">
        <f t="array" ref="G31">($E31-_xll.daSwapRate("EUR."&amp;G$4,$B31,$C31,$F$2))*10000</f>
        <v>#VALUE!</v>
      </c>
      <c r="H31" s="24" t="e" cm="1">
        <f t="array" ref="H31">($E31-_xll.daSwapRate("EUR."&amp;H$4,$B31,$C31,$F$2))*10000</f>
        <v>#VALUE!</v>
      </c>
      <c r="I31" s="24" t="e" cm="1">
        <f t="array" ref="I31">($E31-_xll.daSwapRate("EUR."&amp;I$4,$B31,$C31,$F$2))*10000</f>
        <v>#VALUE!</v>
      </c>
      <c r="J31" s="24" t="e" cm="1">
        <f t="array" ref="J31">($E31-_xll.daSwapRate("EUR."&amp;J$4,$B31,$C31,$F$2))*10000</f>
        <v>#VALUE!</v>
      </c>
    </row>
    <row r="32" spans="1:10" x14ac:dyDescent="0.25">
      <c r="A32" s="10">
        <v>27</v>
      </c>
      <c r="B32" s="10" t="str">
        <f t="shared" si="1"/>
        <v>27y</v>
      </c>
      <c r="C32" s="10" t="s">
        <v>112</v>
      </c>
      <c r="D32" s="10" t="str">
        <f t="shared" si="0"/>
        <v>27y</v>
      </c>
      <c r="E32" s="59" t="str" cm="1">
        <f t="array" ref="E32">_xll.daSwapRate("EUR."&amp;E$4,$B32,$C32,$F$2)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32" s="24" t="e" cm="1">
        <f t="array" ref="F32">($E32-_xll.daSwapRate("EUR."&amp;F$4,$B32,$C32,$F$2))*10000</f>
        <v>#VALUE!</v>
      </c>
      <c r="G32" s="24" t="e" cm="1">
        <f t="array" ref="G32">($E32-_xll.daSwapRate("EUR."&amp;G$4,$B32,$C32,$F$2))*10000</f>
        <v>#VALUE!</v>
      </c>
      <c r="H32" s="24" t="e" cm="1">
        <f t="array" ref="H32">($E32-_xll.daSwapRate("EUR."&amp;H$4,$B32,$C32,$F$2))*10000</f>
        <v>#VALUE!</v>
      </c>
      <c r="I32" s="24" t="e" cm="1">
        <f t="array" ref="I32">($E32-_xll.daSwapRate("EUR."&amp;I$4,$B32,$C32,$F$2))*10000</f>
        <v>#VALUE!</v>
      </c>
      <c r="J32" s="24" t="e" cm="1">
        <f t="array" ref="J32">($E32-_xll.daSwapRate("EUR."&amp;J$4,$B32,$C32,$F$2))*10000</f>
        <v>#VALUE!</v>
      </c>
    </row>
    <row r="33" spans="1:10" x14ac:dyDescent="0.25">
      <c r="A33" s="10">
        <v>28</v>
      </c>
      <c r="B33" s="10" t="str">
        <f t="shared" si="1"/>
        <v>28y</v>
      </c>
      <c r="C33" s="10" t="s">
        <v>112</v>
      </c>
      <c r="D33" s="10" t="str">
        <f t="shared" si="0"/>
        <v>28y</v>
      </c>
      <c r="E33" s="59" t="str" cm="1">
        <f t="array" ref="E33">_xll.daSwapRate("EUR."&amp;E$4,$B33,$C33,$F$2)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33" s="24" t="e" cm="1">
        <f t="array" ref="F33">($E33-_xll.daSwapRate("EUR."&amp;F$4,$B33,$C33,$F$2))*10000</f>
        <v>#VALUE!</v>
      </c>
      <c r="G33" s="24" t="e" cm="1">
        <f t="array" ref="G33">($E33-_xll.daSwapRate("EUR."&amp;G$4,$B33,$C33,$F$2))*10000</f>
        <v>#VALUE!</v>
      </c>
      <c r="H33" s="24" t="e" cm="1">
        <f t="array" ref="H33">($E33-_xll.daSwapRate("EUR."&amp;H$4,$B33,$C33,$F$2))*10000</f>
        <v>#VALUE!</v>
      </c>
      <c r="I33" s="24" t="e" cm="1">
        <f t="array" ref="I33">($E33-_xll.daSwapRate("EUR."&amp;I$4,$B33,$C33,$F$2))*10000</f>
        <v>#VALUE!</v>
      </c>
      <c r="J33" s="24" t="e" cm="1">
        <f t="array" ref="J33">($E33-_xll.daSwapRate("EUR."&amp;J$4,$B33,$C33,$F$2))*10000</f>
        <v>#VALUE!</v>
      </c>
    </row>
    <row r="34" spans="1:10" x14ac:dyDescent="0.25">
      <c r="A34" s="10">
        <v>29</v>
      </c>
      <c r="B34" s="10" t="str">
        <f t="shared" si="1"/>
        <v>29y</v>
      </c>
      <c r="C34" s="10" t="s">
        <v>112</v>
      </c>
      <c r="D34" s="10" t="str">
        <f t="shared" si="0"/>
        <v>29y</v>
      </c>
      <c r="E34" s="59" t="str" cm="1">
        <f t="array" ref="E34">_xll.daSwapRate("EUR."&amp;E$4,$B34,$C34,$F$2)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34" s="24" t="e" cm="1">
        <f t="array" ref="F34">($E34-_xll.daSwapRate("EUR."&amp;F$4,$B34,$C34,$F$2))*10000</f>
        <v>#VALUE!</v>
      </c>
      <c r="G34" s="24" t="e" cm="1">
        <f t="array" ref="G34">($E34-_xll.daSwapRate("EUR."&amp;G$4,$B34,$C34,$F$2))*10000</f>
        <v>#VALUE!</v>
      </c>
      <c r="H34" s="24" t="e" cm="1">
        <f t="array" ref="H34">($E34-_xll.daSwapRate("EUR."&amp;H$4,$B34,$C34,$F$2))*10000</f>
        <v>#VALUE!</v>
      </c>
      <c r="I34" s="24" t="e" cm="1">
        <f t="array" ref="I34">($E34-_xll.daSwapRate("EUR."&amp;I$4,$B34,$C34,$F$2))*10000</f>
        <v>#VALUE!</v>
      </c>
      <c r="J34" s="24" t="e" cm="1">
        <f t="array" ref="J34">($E34-_xll.daSwapRate("EUR."&amp;J$4,$B34,$C34,$F$2))*10000</f>
        <v>#VALUE!</v>
      </c>
    </row>
    <row r="38" spans="1:10" x14ac:dyDescent="0.25">
      <c r="B38" s="11" t="s">
        <v>123</v>
      </c>
      <c r="F38" s="10" t="s">
        <v>122</v>
      </c>
    </row>
    <row r="39" spans="1:10" x14ac:dyDescent="0.25">
      <c r="B39" s="10" t="s">
        <v>57</v>
      </c>
      <c r="C39" s="10" t="s">
        <v>58</v>
      </c>
      <c r="D39" s="10" t="s">
        <v>0</v>
      </c>
      <c r="E39" s="10" t="s">
        <v>114</v>
      </c>
      <c r="F39" s="10" t="s">
        <v>115</v>
      </c>
      <c r="G39" s="10" t="s">
        <v>116</v>
      </c>
      <c r="H39" s="10" t="s">
        <v>117</v>
      </c>
      <c r="I39" s="10" t="s">
        <v>118</v>
      </c>
      <c r="J39" s="10" t="s">
        <v>119</v>
      </c>
    </row>
    <row r="40" spans="1:10" x14ac:dyDescent="0.25">
      <c r="B40" s="8" t="s">
        <v>121</v>
      </c>
      <c r="C40" s="8" t="s">
        <v>97</v>
      </c>
      <c r="D40" s="10" t="s">
        <v>84</v>
      </c>
      <c r="E40" s="12" t="str" cm="1">
        <f t="array" ref="E40">_xll.daSwapRate(LEFT($D$40,3)&amp;"."&amp;E39,$B$40,$C$40,$D$40)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40" s="67" t="e" cm="1">
        <f t="array" ref="F40">($E$40-_xll.daSwapRate(LEFT($D$40,3)&amp;"."&amp;F39,$B$40,$C$40,$D$40))*10000</f>
        <v>#VALUE!</v>
      </c>
      <c r="G40" s="67" t="e" cm="1">
        <f t="array" ref="G40">($E$40-_xll.daSwapRate(LEFT($D$40,3)&amp;"."&amp;G39,$B$40,$C$40,$D$40))*10000</f>
        <v>#VALUE!</v>
      </c>
      <c r="H40" s="67" t="e" cm="1">
        <f t="array" ref="H40">($E$40-_xll.daSwapRate(LEFT($D$40,3)&amp;"."&amp;H39,$B$40,$C$40,$D$40))*10000</f>
        <v>#VALUE!</v>
      </c>
      <c r="I40" s="67" t="e" cm="1">
        <f t="array" ref="I40">($E$40-_xll.daSwapRate(LEFT($D$40,3)&amp;"."&amp;I39,$B$40,$C$40,$D$40))*10000</f>
        <v>#VALUE!</v>
      </c>
      <c r="J40" s="67" t="e" cm="1">
        <f t="array" ref="J40">($E$40-_xll.daSwapRate(LEFT($D$40,3)&amp;"."&amp;J39,$B$40,$C$40,$D$40))*10000</f>
        <v>#VALUE!</v>
      </c>
    </row>
    <row r="41" spans="1:10" x14ac:dyDescent="0.25">
      <c r="B41" s="74" t="s">
        <v>156</v>
      </c>
      <c r="C41" s="71">
        <v>1</v>
      </c>
      <c r="D41" s="72" t="str">
        <f>C41&amp;"y Roll"</f>
        <v>1y Roll</v>
      </c>
      <c r="E41" s="73" t="e" cm="1">
        <f t="array" ref="E41">(E40-_xll.daSwapRate(LEFT($D$40,3)&amp;"."&amp;E39,LEFT($B$40,LEN($B$40)-1)-$C$41&amp;"y",$C$40,$D$40))*10000</f>
        <v>#VALUE!</v>
      </c>
      <c r="F41" s="24"/>
      <c r="G41" s="24"/>
      <c r="H41" s="24"/>
      <c r="I41" s="24"/>
      <c r="J41" s="24"/>
    </row>
    <row r="43" spans="1:10" x14ac:dyDescent="0.25">
      <c r="E43" s="68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3EC03-5814-44D8-8EC1-7344F69FF948}">
  <sheetPr codeName="Sheet7"/>
  <dimension ref="B2:U19"/>
  <sheetViews>
    <sheetView workbookViewId="0">
      <selection activeCell="L30" sqref="L30"/>
    </sheetView>
  </sheetViews>
  <sheetFormatPr defaultRowHeight="15" x14ac:dyDescent="0.25"/>
  <cols>
    <col min="1" max="16384" width="9.140625" style="10"/>
  </cols>
  <sheetData>
    <row r="2" spans="2:21" x14ac:dyDescent="0.25">
      <c r="B2" s="10" t="s">
        <v>142</v>
      </c>
    </row>
    <row r="4" spans="2:21" x14ac:dyDescent="0.25">
      <c r="B4" s="11" t="s">
        <v>150</v>
      </c>
    </row>
    <row r="5" spans="2:21" x14ac:dyDescent="0.25">
      <c r="B5" s="10" t="s">
        <v>143</v>
      </c>
      <c r="Q5" s="76">
        <v>1</v>
      </c>
      <c r="U5" s="75">
        <v>1</v>
      </c>
    </row>
    <row r="6" spans="2:21" x14ac:dyDescent="0.25">
      <c r="B6" s="10" t="s">
        <v>144</v>
      </c>
      <c r="Q6" s="76">
        <v>2</v>
      </c>
      <c r="U6" s="75">
        <v>2</v>
      </c>
    </row>
    <row r="7" spans="2:21" x14ac:dyDescent="0.25">
      <c r="B7" s="10" t="s">
        <v>145</v>
      </c>
      <c r="Q7" s="76">
        <v>3</v>
      </c>
      <c r="U7" s="75">
        <v>3</v>
      </c>
    </row>
    <row r="8" spans="2:21" x14ac:dyDescent="0.25">
      <c r="Q8" s="76">
        <v>4</v>
      </c>
      <c r="U8" s="75">
        <v>4</v>
      </c>
    </row>
    <row r="9" spans="2:21" x14ac:dyDescent="0.25">
      <c r="B9" s="10" t="s">
        <v>146</v>
      </c>
      <c r="Q9" s="76">
        <v>5</v>
      </c>
      <c r="U9" s="75">
        <v>5</v>
      </c>
    </row>
    <row r="10" spans="2:21" x14ac:dyDescent="0.25">
      <c r="B10" s="10" t="s">
        <v>155</v>
      </c>
      <c r="Q10" s="76">
        <v>6</v>
      </c>
      <c r="U10" s="75">
        <v>6</v>
      </c>
    </row>
    <row r="11" spans="2:21" x14ac:dyDescent="0.25">
      <c r="B11" s="10" t="s">
        <v>147</v>
      </c>
      <c r="Q11" s="76">
        <v>7</v>
      </c>
      <c r="U11" s="75">
        <v>7</v>
      </c>
    </row>
    <row r="12" spans="2:21" x14ac:dyDescent="0.25">
      <c r="B12" s="10" t="s">
        <v>148</v>
      </c>
      <c r="Q12" s="76">
        <v>8</v>
      </c>
      <c r="U12" s="75">
        <v>8</v>
      </c>
    </row>
    <row r="13" spans="2:21" x14ac:dyDescent="0.25">
      <c r="B13" s="10" t="s">
        <v>149</v>
      </c>
      <c r="Q13" s="76">
        <v>9</v>
      </c>
      <c r="U13" s="75">
        <v>9</v>
      </c>
    </row>
    <row r="14" spans="2:21" x14ac:dyDescent="0.25">
      <c r="B14" s="10" t="s">
        <v>154</v>
      </c>
      <c r="Q14" s="76">
        <v>10</v>
      </c>
      <c r="U14" s="75">
        <v>10</v>
      </c>
    </row>
    <row r="15" spans="2:21" x14ac:dyDescent="0.25">
      <c r="B15" s="10" t="s">
        <v>151</v>
      </c>
      <c r="Q15" s="76">
        <v>11</v>
      </c>
      <c r="U15" s="75">
        <v>11</v>
      </c>
    </row>
    <row r="16" spans="2:21" x14ac:dyDescent="0.25">
      <c r="B16" s="10" t="s">
        <v>152</v>
      </c>
      <c r="Q16" s="76">
        <v>12</v>
      </c>
      <c r="U16" s="75">
        <v>12</v>
      </c>
    </row>
    <row r="17" spans="2:21" x14ac:dyDescent="0.25">
      <c r="B17" s="10" t="s">
        <v>153</v>
      </c>
      <c r="Q17" s="76">
        <v>13</v>
      </c>
      <c r="U17" s="75">
        <v>13</v>
      </c>
    </row>
    <row r="18" spans="2:21" x14ac:dyDescent="0.25">
      <c r="Q18" s="76">
        <v>14</v>
      </c>
      <c r="U18" s="75">
        <v>14</v>
      </c>
    </row>
    <row r="19" spans="2:21" x14ac:dyDescent="0.25">
      <c r="Q19" s="76">
        <v>15</v>
      </c>
      <c r="U19" s="75">
        <v>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C2FB5EFA111EF45B3E4AB786C100F22" ma:contentTypeVersion="2" ma:contentTypeDescription="Opret et nyt dokument." ma:contentTypeScope="" ma:versionID="f8ace2dddf321445091ed61a9af2aae1">
  <xsd:schema xmlns:xsd="http://www.w3.org/2001/XMLSchema" xmlns:xs="http://www.w3.org/2001/XMLSchema" xmlns:p="http://schemas.microsoft.com/office/2006/metadata/properties" xmlns:ns3="34cbbdd6-5bb2-4b32-b9f1-6143226bd0c0" targetNamespace="http://schemas.microsoft.com/office/2006/metadata/properties" ma:root="true" ma:fieldsID="8998645879b0df1b9697cb0f1adf55fb" ns3:_="">
    <xsd:import namespace="34cbbdd6-5bb2-4b32-b9f1-6143226bd0c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cbbdd6-5bb2-4b32-b9f1-6143226bd0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E8C571-8385-47B7-9054-5EB5282B03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EA3713F-5AA7-44DB-9B00-25429FA1C388}">
  <ds:schemaRefs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34cbbdd6-5bb2-4b32-b9f1-6143226bd0c0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032A52C-0980-4536-9FB2-84FC1C6000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4cbbdd6-5bb2-4b32-b9f1-6143226bd0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1. Create Models</vt:lpstr>
      <vt:lpstr>2. Swap Rates</vt:lpstr>
      <vt:lpstr>3. Portfolio</vt:lpstr>
      <vt:lpstr>4. Risk and PnL</vt:lpstr>
      <vt:lpstr>5. RV</vt:lpstr>
      <vt:lpstr>6. Possible Extensions</vt:lpstr>
      <vt:lpstr>TestInputFormat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ALBEC</dc:creator>
  <cp:lastModifiedBy>Alexander Lillevang Bech</cp:lastModifiedBy>
  <dcterms:created xsi:type="dcterms:W3CDTF">2020-09-01T09:33:01Z</dcterms:created>
  <dcterms:modified xsi:type="dcterms:W3CDTF">2020-11-09T13:09:20Z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0x0101003C2FB5EFA111EF45B3E4AB786C100F22</vt:lpwstr>
  </property>
</Properties>
</file>